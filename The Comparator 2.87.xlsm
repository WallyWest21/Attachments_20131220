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activeX/activeX15.xml" ContentType="application/vnd.ms-office.activeX+xml"/>
  <Override PartName="/xl/activeX/activeX15.bin" ContentType="application/vnd.ms-office.activeX"/>
  <Override PartName="/xl/drawings/drawing4.xml" ContentType="application/vnd.openxmlformats-officedocument.drawing+xml"/>
  <Override PartName="/xl/activeX/activeX16.xml" ContentType="application/vnd.ms-office.activeX+xml"/>
  <Override PartName="/xl/activeX/activeX16.bin" ContentType="application/vnd.ms-office.activeX"/>
  <Override PartName="/xl/drawings/drawing5.xml" ContentType="application/vnd.openxmlformats-officedocument.drawing+xml"/>
  <Override PartName="/xl/activeX/activeX17.xml" ContentType="application/vnd.ms-office.activeX+xml"/>
  <Override PartName="/xl/activeX/activeX17.bin" ContentType="application/vnd.ms-office.activeX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drawings/drawing6.xml" ContentType="application/vnd.openxmlformats-officedocument.drawing+xml"/>
  <Override PartName="/xl/activeX/activeX18.xml" ContentType="application/vnd.ms-office.activeX+xml"/>
  <Override PartName="/xl/activeX/activeX18.bin" ContentType="application/vnd.ms-office.activeX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drawings/drawing7.xml" ContentType="application/vnd.openxmlformats-officedocument.drawing+xml"/>
  <Override PartName="/xl/activeX/activeX19.xml" ContentType="application/vnd.ms-office.activeX+xml"/>
  <Override PartName="/xl/activeX/activeX19.bin" ContentType="application/vnd.ms-office.activeX"/>
  <Override PartName="/xl/tables/table10.xml" ContentType="application/vnd.openxmlformats-officedocument.spreadsheetml.table+xml"/>
  <Override PartName="/xl/queryTables/queryTable1.xml" ContentType="application/vnd.openxmlformats-officedocument.spreadsheetml.queryTable+xml"/>
  <Override PartName="/xl/tables/table11.xml" ContentType="application/vnd.openxmlformats-officedocument.spreadsheetml.table+xml"/>
  <Override PartName="/xl/queryTables/queryTable2.xml" ContentType="application/vnd.openxmlformats-officedocument.spreadsheetml.queryTable+xml"/>
  <Override PartName="/xl/tables/table12.xml" ContentType="application/vnd.openxmlformats-officedocument.spreadsheetml.table+xml"/>
  <Override PartName="/xl/pivotTables/pivotTable1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Dgtal\Dropbox\ESS\The Comparator\Attachments_20131220\"/>
    </mc:Choice>
  </mc:AlternateContent>
  <bookViews>
    <workbookView xWindow="12780" yWindow="1695" windowWidth="5685" windowHeight="7215" firstSheet="1" activeTab="1"/>
  </bookViews>
  <sheets>
    <sheet name="B611061-501" sheetId="2" state="hidden" r:id="rId1"/>
    <sheet name="The Comparator" sheetId="1" r:id="rId2"/>
    <sheet name="B475036-515" sheetId="3" state="hidden" r:id="rId3"/>
    <sheet name="Sheet2" sheetId="4" state="hidden" r:id="rId4"/>
    <sheet name="Sheet3" sheetId="5" state="hidden" r:id="rId5"/>
    <sheet name="The Renamer" sheetId="7" state="hidden" r:id="rId6"/>
    <sheet name="Electrical" sheetId="8" r:id="rId7"/>
    <sheet name="Notes" sheetId="9" r:id="rId8"/>
    <sheet name="Std Hwd" sheetId="11" state="hidden" r:id="rId9"/>
    <sheet name="Plating" sheetId="10" state="hidden" r:id="rId10"/>
    <sheet name="Sheet1" sheetId="12" r:id="rId11"/>
  </sheets>
  <functionGroups builtInGroupCount="18"/>
  <externalReferences>
    <externalReference r:id="rId12"/>
    <externalReference r:id="rId13"/>
    <externalReference r:id="rId14"/>
    <externalReference r:id="rId15"/>
  </externalReferences>
  <definedNames>
    <definedName name="ddBasis">OFFSET([1]formsupport!$D$4,0,0,COUNTA([1]formsupport!$D$4:$D$21)+1,1)</definedName>
    <definedName name="ddGaantBasis">OFFSET([1]formsupport!$F$5,0,0,COUNTA([1]formsupport!$F$5:$F$14),1)</definedName>
    <definedName name="ddLimiter1">OFFSET([1]formsupport!$B$4,0,0,COUNTA([1]formsupport!$B$4:$B$20)+1,1)</definedName>
    <definedName name="ddsublimiter1">OFFSET([1]formsupport!$B$32,0,0,COUNTA([1]formsupport!$B$32:$B$383),1)</definedName>
    <definedName name="ExternalData_1" localSheetId="8" hidden="1">'Std Hwd'!$H$2:$J$987</definedName>
    <definedName name="MPLList">#REF!</definedName>
    <definedName name="MPLSections">#REF!</definedName>
    <definedName name="PN">[2]Main!$B$10:$B$173</definedName>
    <definedName name="Query_from_Excel_Files" localSheetId="8" hidden="1">'Std Hwd'!$A$2:$C$150</definedName>
    <definedName name="RELEASE_STATUS">[2]!tStatus[RELEASE STATUS]</definedName>
    <definedName name="rEntityEligible">[2]!tEntityList[[Entity Code]:[rEntityEligibleConcat]]</definedName>
    <definedName name="rEntityEligibleCodes">[2]!tEntityList[Entity Code]</definedName>
    <definedName name="rEntityEligibleConcat">[2]!tEntityList[rEntityEligibleConcat]</definedName>
    <definedName name="rEntityEligibleDescriptions">[2]!tEntityList[Description]</definedName>
    <definedName name="STATUS">[2]Main!#REF!</definedName>
    <definedName name="TYPE">[2]Main!#REF!</definedName>
    <definedName name="vATP">OFFSET('[3]Validation Lists'!$O$4,0,1,COUNTA([3]!Table_cGetUniqueATPs[ATPNumber]),1)</definedName>
    <definedName name="vRevValue">[2]support!$K$2:$M$634</definedName>
  </definedNames>
  <calcPr calcId="152511"/>
  <pivotCaches>
    <pivotCache cacheId="0" r:id="rId16"/>
  </pivotCaches>
</workbook>
</file>

<file path=xl/calcChain.xml><?xml version="1.0" encoding="utf-8"?>
<calcChain xmlns="http://schemas.openxmlformats.org/spreadsheetml/2006/main">
  <c r="D1" i="1" l="1"/>
  <c r="T13" i="7"/>
  <c r="U13" i="7"/>
  <c r="V13" i="7"/>
  <c r="W13" i="7"/>
  <c r="X13" i="7"/>
  <c r="X14" i="7" s="1"/>
  <c r="X15" i="7" s="1"/>
  <c r="S13" i="7"/>
  <c r="S14" i="7" s="1"/>
  <c r="K35" i="7"/>
  <c r="V12" i="7" l="1"/>
  <c r="U12" i="7"/>
  <c r="T14" i="7"/>
  <c r="W14" i="7" s="1"/>
  <c r="O15" i="7" s="1"/>
  <c r="S15" i="7"/>
  <c r="K16" i="7" s="1"/>
  <c r="K15" i="7"/>
  <c r="X16" i="7"/>
  <c r="P16" i="7"/>
  <c r="W12" i="7"/>
  <c r="P15" i="7"/>
  <c r="V14" i="7" l="1"/>
  <c r="N15" i="7" s="1"/>
  <c r="L15" i="7"/>
  <c r="T15" i="7"/>
  <c r="L16" i="7" s="1"/>
  <c r="U14" i="7"/>
  <c r="S16" i="7"/>
  <c r="K17" i="7" s="1"/>
  <c r="X17" i="7"/>
  <c r="P17" i="7"/>
  <c r="M15" i="7"/>
  <c r="V15" i="7" l="1"/>
  <c r="N16" i="7" s="1"/>
  <c r="T16" i="7"/>
  <c r="L17" i="7" s="1"/>
  <c r="W15" i="7"/>
  <c r="O16" i="7" s="1"/>
  <c r="U15" i="7"/>
  <c r="S17" i="7"/>
  <c r="K18" i="7" s="1"/>
  <c r="X18" i="7"/>
  <c r="P18" i="7"/>
  <c r="M16" i="7"/>
  <c r="U16" i="7"/>
  <c r="T17" i="7" l="1"/>
  <c r="L18" i="7" s="1"/>
  <c r="V16" i="7"/>
  <c r="N17" i="7" s="1"/>
  <c r="W16" i="7"/>
  <c r="O17" i="7" s="1"/>
  <c r="S18" i="7"/>
  <c r="K19" i="7" s="1"/>
  <c r="X19" i="7"/>
  <c r="P19" i="7"/>
  <c r="M17" i="7"/>
  <c r="T18" i="7" l="1"/>
  <c r="L19" i="7" s="1"/>
  <c r="V17" i="7"/>
  <c r="N18" i="7" s="1"/>
  <c r="W17" i="7"/>
  <c r="O18" i="7" s="1"/>
  <c r="U17" i="7"/>
  <c r="S19" i="7"/>
  <c r="K20" i="7" s="1"/>
  <c r="X20" i="7"/>
  <c r="P20" i="7"/>
  <c r="M18" i="7"/>
  <c r="W18" i="7"/>
  <c r="O19" i="7" s="1"/>
  <c r="U18" i="7" l="1"/>
  <c r="M19" i="7" s="1"/>
  <c r="T19" i="7"/>
  <c r="L20" i="7" s="1"/>
  <c r="V18" i="7"/>
  <c r="N19" i="7" s="1"/>
  <c r="S20" i="7"/>
  <c r="K21" i="7" s="1"/>
  <c r="X21" i="7"/>
  <c r="P21" i="7"/>
  <c r="T20" i="7"/>
  <c r="L21" i="7" s="1"/>
  <c r="V19" i="7"/>
  <c r="N20" i="7" s="1"/>
  <c r="W19" i="7" l="1"/>
  <c r="O20" i="7" s="1"/>
  <c r="U19" i="7"/>
  <c r="M20" i="7" s="1"/>
  <c r="S21" i="7"/>
  <c r="K22" i="7" s="1"/>
  <c r="X22" i="7"/>
  <c r="P22" i="7"/>
  <c r="W20" i="7"/>
  <c r="O21" i="7" s="1"/>
  <c r="U20" i="7"/>
  <c r="T21" i="7"/>
  <c r="L22" i="7" s="1"/>
  <c r="V20" i="7"/>
  <c r="N21" i="7" s="1"/>
  <c r="S22" i="7" l="1"/>
  <c r="K23" i="7" s="1"/>
  <c r="X23" i="7"/>
  <c r="P23" i="7"/>
  <c r="M21" i="7"/>
  <c r="U21" i="7"/>
  <c r="T22" i="7"/>
  <c r="L23" i="7" s="1"/>
  <c r="V21" i="7"/>
  <c r="N22" i="7" s="1"/>
  <c r="W21" i="7"/>
  <c r="O22" i="7" s="1"/>
  <c r="S23" i="7" l="1"/>
  <c r="K24" i="7" s="1"/>
  <c r="X24" i="7"/>
  <c r="P24" i="7"/>
  <c r="M22" i="7"/>
  <c r="W22" i="7"/>
  <c r="O23" i="7" s="1"/>
  <c r="U22" i="7"/>
  <c r="M23" i="7" s="1"/>
  <c r="T23" i="7"/>
  <c r="L24" i="7" s="1"/>
  <c r="V22" i="7"/>
  <c r="N23" i="7" s="1"/>
  <c r="S24" i="7" l="1"/>
  <c r="S25" i="7" s="1"/>
  <c r="X25" i="7"/>
  <c r="P25" i="7"/>
  <c r="U23" i="7"/>
  <c r="M24" i="7" s="1"/>
  <c r="T24" i="7"/>
  <c r="L25" i="7" s="1"/>
  <c r="V23" i="7"/>
  <c r="N24" i="7" s="1"/>
  <c r="W23" i="7"/>
  <c r="O24" i="7" s="1"/>
  <c r="K25" i="7" l="1"/>
  <c r="X26" i="7"/>
  <c r="P26" i="7"/>
  <c r="S26" i="7"/>
  <c r="K26" i="7"/>
  <c r="W24" i="7"/>
  <c r="O25" i="7" s="1"/>
  <c r="U24" i="7"/>
  <c r="M25" i="7" s="1"/>
  <c r="T25" i="7"/>
  <c r="L26" i="7" s="1"/>
  <c r="V24" i="7"/>
  <c r="N25" i="7" s="1"/>
  <c r="X27" i="7" l="1"/>
  <c r="P27" i="7"/>
  <c r="S27" i="7"/>
  <c r="K27" i="7"/>
  <c r="U25" i="7"/>
  <c r="M26" i="7" s="1"/>
  <c r="T26" i="7"/>
  <c r="L27" i="7" s="1"/>
  <c r="V25" i="7"/>
  <c r="N26" i="7" s="1"/>
  <c r="W25" i="7"/>
  <c r="O26" i="7" s="1"/>
  <c r="X28" i="7" l="1"/>
  <c r="P28" i="7"/>
  <c r="S28" i="7"/>
  <c r="K28" i="7"/>
  <c r="W26" i="7"/>
  <c r="O27" i="7" s="1"/>
  <c r="T27" i="7"/>
  <c r="L28" i="7" s="1"/>
  <c r="U26" i="7"/>
  <c r="M27" i="7" s="1"/>
  <c r="V26" i="7"/>
  <c r="N27" i="7" s="1"/>
  <c r="X29" i="7" l="1"/>
  <c r="P29" i="7"/>
  <c r="S29" i="7"/>
  <c r="K29" i="7"/>
  <c r="V27" i="7"/>
  <c r="N28" i="7" s="1"/>
  <c r="W27" i="7"/>
  <c r="O28" i="7" s="1"/>
  <c r="T28" i="7"/>
  <c r="L29" i="7" s="1"/>
  <c r="U27" i="7"/>
  <c r="M28" i="7" s="1"/>
  <c r="X30" i="7" l="1"/>
  <c r="P30" i="7"/>
  <c r="S30" i="7"/>
  <c r="K30" i="7"/>
  <c r="T29" i="7"/>
  <c r="L30" i="7" s="1"/>
  <c r="U28" i="7"/>
  <c r="M29" i="7" s="1"/>
  <c r="V28" i="7"/>
  <c r="N29" i="7" s="1"/>
  <c r="W28" i="7"/>
  <c r="O29" i="7" s="1"/>
  <c r="X31" i="7" l="1"/>
  <c r="P31" i="7"/>
  <c r="S31" i="7"/>
  <c r="K31" i="7"/>
  <c r="T30" i="7"/>
  <c r="L31" i="7" s="1"/>
  <c r="U29" i="7"/>
  <c r="M30" i="7" s="1"/>
  <c r="V29" i="7"/>
  <c r="N30" i="7" s="1"/>
  <c r="W29" i="7"/>
  <c r="O30" i="7" s="1"/>
  <c r="X32" i="7" l="1"/>
  <c r="P32" i="7"/>
  <c r="S32" i="7"/>
  <c r="K32" i="7"/>
  <c r="W30" i="7"/>
  <c r="O31" i="7" s="1"/>
  <c r="T31" i="7"/>
  <c r="L32" i="7" s="1"/>
  <c r="U30" i="7"/>
  <c r="M31" i="7" s="1"/>
  <c r="V30" i="7"/>
  <c r="N31" i="7" s="1"/>
  <c r="X33" i="7" l="1"/>
  <c r="P33" i="7"/>
  <c r="S33" i="7"/>
  <c r="K34" i="7" s="1"/>
  <c r="K33" i="7"/>
  <c r="V31" i="7"/>
  <c r="N32" i="7" s="1"/>
  <c r="W31" i="7"/>
  <c r="O32" i="7" s="1"/>
  <c r="T32" i="7"/>
  <c r="L33" i="7" s="1"/>
  <c r="U31" i="7"/>
  <c r="M32" i="7" s="1"/>
  <c r="X34" i="7" l="1"/>
  <c r="P35" i="7" s="1"/>
  <c r="P34" i="7"/>
  <c r="T33" i="7"/>
  <c r="L34" i="7" s="1"/>
  <c r="U32" i="7"/>
  <c r="M33" i="7" s="1"/>
  <c r="V32" i="7"/>
  <c r="N33" i="7" s="1"/>
  <c r="W32" i="7"/>
  <c r="O33" i="7" s="1"/>
  <c r="T34" i="7" l="1"/>
  <c r="L35" i="7" s="1"/>
  <c r="U33" i="7"/>
  <c r="M34" i="7" s="1"/>
  <c r="V33" i="7"/>
  <c r="N34" i="7" s="1"/>
  <c r="W33" i="7"/>
  <c r="O34" i="7" s="1"/>
  <c r="U34" i="7" l="1"/>
  <c r="M35" i="7" s="1"/>
  <c r="V34" i="7"/>
  <c r="N35" i="7" s="1"/>
  <c r="W34" i="7"/>
  <c r="O35" i="7" s="1"/>
</calcChain>
</file>

<file path=xl/comments1.xml><?xml version="1.0" encoding="utf-8"?>
<comments xmlns="http://schemas.openxmlformats.org/spreadsheetml/2006/main">
  <authors>
    <author>ajacob</author>
  </authors>
  <commentList>
    <comment ref="G14" authorId="0" shapeId="0">
      <text>
        <r>
          <rPr>
            <sz val="9"/>
            <color indexed="81"/>
            <rFont val="Tahoma"/>
            <family val="2"/>
          </rPr>
          <t>SCREW, FLAT HEAD, GRIP, #8-32 X 1.53 LG</t>
        </r>
      </text>
    </comment>
    <comment ref="G15" authorId="0" shapeId="0">
      <text>
        <r>
          <rPr>
            <sz val="9"/>
            <color indexed="81"/>
            <rFont val="Tahoma"/>
            <family val="2"/>
          </rPr>
          <t>SCREW, FLAT HEAD, GRIP, #8-32 X 1.16 LG</t>
        </r>
      </text>
    </comment>
    <comment ref="G16" authorId="0" shapeId="0">
      <text>
        <r>
          <rPr>
            <sz val="9"/>
            <color indexed="81"/>
            <rFont val="Tahoma"/>
            <family val="2"/>
          </rPr>
          <t>NUT, HEX, SELF LOCKING, 1/4-28</t>
        </r>
      </text>
    </comment>
    <comment ref="H20" authorId="0" shapeId="0">
      <text>
        <r>
          <rPr>
            <sz val="9"/>
            <color indexed="81"/>
            <rFont val="Tahoma"/>
            <family val="2"/>
          </rPr>
          <t xml:space="preserve">bond per </t>
        </r>
      </text>
    </comment>
    <comment ref="H21" authorId="0" shapeId="0">
      <text>
        <r>
          <rPr>
            <sz val="9"/>
            <color indexed="81"/>
            <rFont val="Tahoma"/>
            <family val="2"/>
          </rPr>
          <t xml:space="preserve">bond per </t>
        </r>
      </text>
    </comment>
    <comment ref="H22" authorId="0" shapeId="0">
      <text>
        <r>
          <rPr>
            <sz val="9"/>
            <color indexed="81"/>
            <rFont val="Tahoma"/>
            <family val="2"/>
          </rPr>
          <t>JKLHSDJKFHSDJKJDSF</t>
        </r>
      </text>
    </comment>
    <comment ref="H31" authorId="0" shapeId="0">
      <text>
        <r>
          <rPr>
            <sz val="9"/>
            <color indexed="81"/>
            <rFont val="Tahoma"/>
            <family val="2"/>
          </rPr>
          <t xml:space="preserve">bond per </t>
        </r>
      </text>
    </comment>
    <comment ref="H35" authorId="0" shapeId="0">
      <text>
        <r>
          <rPr>
            <sz val="9"/>
            <color indexed="81"/>
            <rFont val="Tahoma"/>
            <family val="2"/>
          </rPr>
          <t xml:space="preserve">bond per </t>
        </r>
      </text>
    </comment>
  </commentList>
</comments>
</file>

<file path=xl/connections.xml><?xml version="1.0" encoding="utf-8"?>
<connections xmlns="http://schemas.openxmlformats.org/spreadsheetml/2006/main">
  <connection id="1" name="Query from Excel Files" description="Inserts - Bob's Cheat Sheets" type="1" refreshedVersion="3" background="1" saveData="1">
    <dbPr connection="DSN=Excel Files;DBQ=K:\Departments\Engineering\Shared\Eng Support Docs\BOBS CHEAT SHEETS\CHEAT SHEETS - INSERTS (FINAL).xls;DefaultDir=K:\Departments\Engineering\Shared\Eng Support Docs\BOBS CHEAT SHEETS;DriverId=1046;MaxBufferSize=2048;PageTimeout=5;" command="SELECT `'INSERT CALLOUTS$'`.`DATE: 08-06-2012`, `'INSERT CALLOUTS$'`.F2, `'INSERT CALLOUTS$'`.F3_x000d__x000a_FROM `'INSERT CALLOUTS$'` `'INSERT CALLOUTS$'`_x000d__x000a_WHERE (`'INSERT CALLOUTS$'`.`DATE: 08-06-2012` Is Not Null)"/>
  </connection>
  <connection id="2" name="Query from Excel Files1" description="Hwd - Bob's Cheat Sheets" type="1" refreshedVersion="3" background="1" saveData="1">
    <dbPr connection="DSN=Excel Files;DBQ=K:\Departments\Engineering\Shared\Eng Support Docs\BOBS CHEAT SHEETS\REPEAT HARDWARE (FINAL).xls;DefaultDir=K:\Departments\Engineering\Shared\Eng Support Docs\BOBS CHEAT SHEETS;DriverId=1046;MaxBufferSize=2048;PageTimeout=5;" command="SELECT `SCREW$`.F1, `SCREW$`.F2, `SCREW$`.`DATE: 01-11-2013`_x000d__x000a_FROM `SCREW$` `SCREW$`_x000d__x000a_WHERE (`SCREW$`.F1 Is Not Null)"/>
  </connection>
</connections>
</file>

<file path=xl/sharedStrings.xml><?xml version="1.0" encoding="utf-8"?>
<sst xmlns="http://schemas.openxmlformats.org/spreadsheetml/2006/main" count="12982" uniqueCount="3401">
  <si>
    <t>QTY REQD</t>
  </si>
  <si>
    <t>PART OR IDENTIFYING NO.</t>
  </si>
  <si>
    <t>NOMENCLATURE OR DESCRIPTION</t>
  </si>
  <si>
    <t>ITEM NO.</t>
  </si>
  <si>
    <t>NAS603-10P</t>
  </si>
  <si>
    <t>SCREW, PAN HEAD, FULL THD, #10-32, ALLOY STEEL, 160 KSI, STRUCTURAL</t>
  </si>
  <si>
    <t>NAS602-6P</t>
  </si>
  <si>
    <t>SCREW, PAN HEAD, FULL THD, #8-32, ALLOY STEEL, 160 KSI, STRUCTURAL</t>
  </si>
  <si>
    <t>NAS514P832-6P</t>
  </si>
  <si>
    <t>SCREW, FLAT HEAD, FULL THD, #8-32, ALLOY STEEL, 125 KSI, GENERAL</t>
  </si>
  <si>
    <t>NAS514P832-4P</t>
  </si>
  <si>
    <t>B471111-3</t>
  </si>
  <si>
    <t>B478004-503</t>
  </si>
  <si>
    <t>B.04</t>
  </si>
  <si>
    <t>BONDED STRUCTURE ASSY, LH UPPER GALLEY</t>
  </si>
  <si>
    <t>BS</t>
  </si>
  <si>
    <t>B473320-501</t>
  </si>
  <si>
    <t>G</t>
  </si>
  <si>
    <t xml:space="preserve">PANEL ASSY, CLOSE OUT </t>
  </si>
  <si>
    <t>PL</t>
  </si>
  <si>
    <t>B473320-1</t>
  </si>
  <si>
    <t>PANEL, CLOSE OUT (.25 THK)</t>
  </si>
  <si>
    <t>PANEL</t>
  </si>
  <si>
    <t>CDM031-32</t>
  </si>
  <si>
    <t>CDSP5904-08-250</t>
  </si>
  <si>
    <t>NC</t>
  </si>
  <si>
    <t>INSERT, THRU HOLE, CSK, #8-32, STEEL, CAD PLATE, GENERAL</t>
  </si>
  <si>
    <t>ALY STEEL 4130</t>
  </si>
  <si>
    <t>B475034-501</t>
  </si>
  <si>
    <t>B</t>
  </si>
  <si>
    <t>PANEL ASSY, CLOSE OUT (MISCELLANEOUS)</t>
  </si>
  <si>
    <t>PANEL ASSY, DIVIDER</t>
  </si>
  <si>
    <t>B475034-1</t>
  </si>
  <si>
    <t>PANEL (.25 THK)</t>
  </si>
  <si>
    <t>CDSP5904-3-250</t>
  </si>
  <si>
    <t>A</t>
  </si>
  <si>
    <t>INSERT, THRU HOLE, CSK, #10-32, STEEL, CAD PLATE, GENERAL</t>
  </si>
  <si>
    <t>CDIN07-08-07</t>
  </si>
  <si>
    <t>INSERT, BLIND THD, #8-32, STEEL, CAD PLATE, GENERAL</t>
  </si>
  <si>
    <t>B475090-515</t>
  </si>
  <si>
    <t>F</t>
  </si>
  <si>
    <t>PANEL ASSY, BASE (UPPER SECTION)</t>
  </si>
  <si>
    <t>PANEL ASSY, BASE</t>
  </si>
  <si>
    <t>B475090-15</t>
  </si>
  <si>
    <t>PANEL (.500 THK)</t>
  </si>
  <si>
    <t>CDM050-61</t>
  </si>
  <si>
    <t>CDSP5904-4-500</t>
  </si>
  <si>
    <t>INSERT, THRU HOLE, CSK, 1/4-28, STEEL, CAD PLATE, GENERAL</t>
  </si>
  <si>
    <t>CDSP5904-3-500</t>
  </si>
  <si>
    <t>CDSP5905-08-13</t>
  </si>
  <si>
    <t>INSERT, BLIND THD, 90 DEG CSK, #8-32, STEEL, CAD PLATE, GENERAL</t>
  </si>
  <si>
    <t>CDSP5905-3-13</t>
  </si>
  <si>
    <t>INSERT, BLIND THD, 90 DEG CSK, #10-32, STEEL, CAD PLATE, GENERAL</t>
  </si>
  <si>
    <t>B475035-501</t>
  </si>
  <si>
    <t>C</t>
  </si>
  <si>
    <t>PANEL ASSY DIVIDER (CRYSTAL STORAGE)</t>
  </si>
  <si>
    <t>CDSP5905-06-13</t>
  </si>
  <si>
    <t>INSERT, BLIND THD, 90 DEG CSK, #6-32, STEEL, CAD PLATE, GENERAL</t>
  </si>
  <si>
    <t>B475035-1</t>
  </si>
  <si>
    <t>PANEL, DIVIDER (.50THK)</t>
  </si>
  <si>
    <t>CDM050-31</t>
  </si>
  <si>
    <t>CDSP5903-08-500</t>
  </si>
  <si>
    <t>INSERT, THRU HOLE, #8-32, STEEL, CAD PLATE, GENERAL</t>
  </si>
  <si>
    <t>B475033-501</t>
  </si>
  <si>
    <t>PANEL ASSY, BASE (CRYSTAL STORAGE)</t>
  </si>
  <si>
    <t>B475033-1</t>
  </si>
  <si>
    <t>PANEL, BASE .50 THK_x000D_
(CRYSTAL STORAGE)</t>
  </si>
  <si>
    <t>CDSP5907-08-3</t>
  </si>
  <si>
    <t>INSERT, BLIND THD, FLOATING, SMALL, #8-32, STEEL, CAD PLATE, GENERAL</t>
  </si>
  <si>
    <t>B475036-515</t>
  </si>
  <si>
    <t>E</t>
  </si>
  <si>
    <t>PANEL ASSY, AFT (STRUCTURAL, UPPER SECTION)</t>
  </si>
  <si>
    <t>PANEL ASSY, AFT</t>
  </si>
  <si>
    <t>B475036-15</t>
  </si>
  <si>
    <t>PANEL (.50THK)</t>
  </si>
  <si>
    <t>CDSP5907-3-3</t>
  </si>
  <si>
    <t>INSERT, BLIND THD, FLOATING, SMALL, #10-32, STEEL, CAD PLATE, GENERAL</t>
  </si>
  <si>
    <t>B475049-507</t>
  </si>
  <si>
    <t>D</t>
  </si>
  <si>
    <t>B475049-7</t>
  </si>
  <si>
    <t>CDM031-61</t>
  </si>
  <si>
    <t>CDSP5903-06-250</t>
  </si>
  <si>
    <t>INSERT, THRU HOLE, #6-32, STEEL, CAD PLATE, GENERAL</t>
  </si>
  <si>
    <t>CDSP5905-06-06</t>
  </si>
  <si>
    <t>CDSP5905-08-06</t>
  </si>
  <si>
    <t>B475037-501</t>
  </si>
  <si>
    <t>K</t>
  </si>
  <si>
    <t>PANEL ASSY, DIVIDER (STRUCTURAL, UPPER SECTION)</t>
  </si>
  <si>
    <t>B475037-1</t>
  </si>
  <si>
    <t>PANEL (.050THK)</t>
  </si>
  <si>
    <t>CDSP5906-08-500</t>
  </si>
  <si>
    <t>INSERT, THRU THD, 90 DEG CSK, #8-32, STEEL, CAD PLATE, GENERAL</t>
  </si>
  <si>
    <t>B475039-501</t>
  </si>
  <si>
    <t>PANEL ASSY, FILLER (MISC. DRAWER)</t>
  </si>
  <si>
    <t>PANEL ASSY, FILLER</t>
  </si>
  <si>
    <t>B475039-1</t>
  </si>
  <si>
    <t>PANEL FILLER .050THK (MISC DRAWER )</t>
  </si>
  <si>
    <t>PANEL, FILLER</t>
  </si>
  <si>
    <t>B471104-29</t>
  </si>
  <si>
    <t>REINFORCEMENT (UPPER TIE-RODE, GALLEY ATTACHEMENT</t>
  </si>
  <si>
    <t>REINFORCEMENT (UPPER TIE-RODE)</t>
  </si>
  <si>
    <t>AL ALY 2024-T3</t>
  </si>
  <si>
    <t>SM</t>
  </si>
  <si>
    <t>B471104-27</t>
  </si>
  <si>
    <t>REINFORCEMENTS (UPPER TIE ROD)</t>
  </si>
  <si>
    <t>B475081-503</t>
  </si>
  <si>
    <t>M</t>
  </si>
  <si>
    <t>PANEL ASSY, FWD STRUCTURAL UPPER SECTION</t>
  </si>
  <si>
    <t xml:space="preserve">PANEL ASSY, FWD </t>
  </si>
  <si>
    <t>B475081-3</t>
  </si>
  <si>
    <t>SHEET METAL PLATE .063 THK</t>
  </si>
  <si>
    <t>DOUBLER</t>
  </si>
  <si>
    <t>B475081-5</t>
  </si>
  <si>
    <t>PANEL (.75THK)</t>
  </si>
  <si>
    <t>CDM058-61</t>
  </si>
  <si>
    <t>CDSP5904-3-750</t>
  </si>
  <si>
    <t>CDSP5903-3-750</t>
  </si>
  <si>
    <t>INSERT, THRU HOLE, #10-32, STEEL, CAD PLATE, GENERAL</t>
  </si>
  <si>
    <t>CDSP5907-3-6</t>
  </si>
  <si>
    <t>CDSP5905-08-20</t>
  </si>
  <si>
    <t>B475030-507</t>
  </si>
  <si>
    <t>PANEL ASSY, BASE (MICROWAVE MOUNTING)</t>
  </si>
  <si>
    <t>B475030-11</t>
  </si>
  <si>
    <t>PANEL (.625 THK)</t>
  </si>
  <si>
    <t>CDM057-31</t>
  </si>
  <si>
    <t>CDSP5905-4-13</t>
  </si>
  <si>
    <t>INSERT, BLIND THD, 90 DEG CSK, 1/4-28, STEEL, CAD PLATE, GENERAL</t>
  </si>
  <si>
    <t>NAS1834A4-625</t>
  </si>
  <si>
    <t>INSERT, THRU HOLE, AL ALY, ANODIZED,_x000D_
 .260 DIA X .625 LG</t>
  </si>
  <si>
    <t>INSERT, THRU HOLE, AL ALY, ANODIZED, .260 DIA X .625 LG</t>
  </si>
  <si>
    <t>B475042-503</t>
  </si>
  <si>
    <t>J</t>
  </si>
  <si>
    <t>PANEL ASSY, CLOSE-OUT_x000D_
(TAMBOUR DOOR)</t>
  </si>
  <si>
    <t>PANEL ASSY, CLOSE-OUT</t>
  </si>
  <si>
    <t>B475042-3</t>
  </si>
  <si>
    <t>PANEL, CLOSE-OUT TAMBOUR DOOR (.25 THK)</t>
  </si>
  <si>
    <t>B475042-501</t>
  </si>
  <si>
    <t>CDSP5905-08-07</t>
  </si>
  <si>
    <t>B475042-1</t>
  </si>
  <si>
    <t>B475032-7</t>
  </si>
  <si>
    <t>PANEL FRONT, SHELF (.250 THK)</t>
  </si>
  <si>
    <t>PANEL, FRONT</t>
  </si>
  <si>
    <t>B475032-5</t>
  </si>
  <si>
    <t>PANEL SHELF, BASE (.250 THK)</t>
  </si>
  <si>
    <t>PANEL, BASE</t>
  </si>
  <si>
    <t>B475032-3</t>
  </si>
  <si>
    <t>PANEL SHELF, FRONT (.250 THK)</t>
  </si>
  <si>
    <t>B471131-501</t>
  </si>
  <si>
    <t xml:space="preserve">FITTING ASSY (X ATTACHEMENT)_x000D_
</t>
  </si>
  <si>
    <t>FITTING ASSY</t>
  </si>
  <si>
    <t>MP</t>
  </si>
  <si>
    <t>B471131-1</t>
  </si>
  <si>
    <t>FITTING (X ATTACHMENT)</t>
  </si>
  <si>
    <t>FITTING</t>
  </si>
  <si>
    <t>B471131-2</t>
  </si>
  <si>
    <t xml:space="preserve">FITTING </t>
  </si>
  <si>
    <t>NAS77-4-20</t>
  </si>
  <si>
    <t>BUSHING .25 DIA ID</t>
  </si>
  <si>
    <t>MS21059L3</t>
  </si>
  <si>
    <t>NUT PLATE, TWO LUG, FLOATING, #10-32, ALLOY STEEL, 125 KSI, GENERAL</t>
  </si>
  <si>
    <t>B473320-519</t>
  </si>
  <si>
    <t>B473320-21</t>
  </si>
  <si>
    <t>PANEL (.5 THK)</t>
  </si>
  <si>
    <t>B471207-509</t>
  </si>
  <si>
    <t>TRACK ASSY, UPPER (TAMBOUR DOOR)</t>
  </si>
  <si>
    <t>NM</t>
  </si>
  <si>
    <t>B471139-9</t>
  </si>
  <si>
    <t>TRACK, UPPER (TAMBOUR DOOR)_x000D_
VIRGIN ELECTRICAL GRADE TEFLON SHEET_x000D_
MCMASTER-CARR 8545 SERIES</t>
  </si>
  <si>
    <t>TRACK</t>
  </si>
  <si>
    <t>TEFLON</t>
  </si>
  <si>
    <t>B471140-501</t>
  </si>
  <si>
    <t>SUPORT BLOCK ASSY</t>
  </si>
  <si>
    <t>B471140-1</t>
  </si>
  <si>
    <t>BLOCK</t>
  </si>
  <si>
    <t>MS21209C0810</t>
  </si>
  <si>
    <t>INSERT, HELICAL COIL, COARSE THD, #8-32, CRES, PASSIVATE, GENERAL</t>
  </si>
  <si>
    <t>CRES 301</t>
  </si>
  <si>
    <t>NAS514P632-10P</t>
  </si>
  <si>
    <t>SCREW, FLAT HEAD, FULL THD, #6-32, ALLOY STEEL, 125 KSI, GENERAL</t>
  </si>
  <si>
    <t>B471207-502</t>
  </si>
  <si>
    <t>TRACK ASSY (OPP. -501)</t>
  </si>
  <si>
    <t>B471139-2</t>
  </si>
  <si>
    <t>TRACK, TAMBOUR DOOR_x000D_
VIRGIN ELECTRICAL GRADE TEFLON SHEET_x000D_
MCMASTER-CARR 8545 SERIES</t>
  </si>
  <si>
    <t>TRACK (OPP.-1)</t>
  </si>
  <si>
    <t>B471207-510</t>
  </si>
  <si>
    <t>TRACK ASSY (OPP. -509)</t>
  </si>
  <si>
    <t>B471139-10</t>
  </si>
  <si>
    <t>TRACK (OPP.-9)</t>
  </si>
  <si>
    <t>B471207-507</t>
  </si>
  <si>
    <t>TRACK ASSY</t>
  </si>
  <si>
    <t>B471139-7</t>
  </si>
  <si>
    <t>B481419-1</t>
  </si>
  <si>
    <t>ANGLE BRACKET (REMOVABLE PANEL)</t>
  </si>
  <si>
    <t>ANGLE</t>
  </si>
  <si>
    <t>B473321-501</t>
  </si>
  <si>
    <t>ANGLE BRACKET ASSY</t>
  </si>
  <si>
    <t>B473321-1</t>
  </si>
  <si>
    <t>ANGLE BRACKET ASSY, ANGLE TMS60-6478-K 1.25X1.25X.064 THK</t>
  </si>
  <si>
    <t>BRACKET</t>
  </si>
  <si>
    <t>MS21059L08</t>
  </si>
  <si>
    <t>NUT PLATE, TWO LUG, FLOATING, #8-32, ALLOY STEEL, 125 KSI, GENERAL</t>
  </si>
  <si>
    <t>B475041-1</t>
  </si>
  <si>
    <t>PANEL, COUNTOUR (OUTBOARD UPPER SECTION)_x000D_
(.50 THK)</t>
  </si>
  <si>
    <t>PANEL, COUNTOUR</t>
  </si>
  <si>
    <t>B475041-3</t>
  </si>
  <si>
    <t>B475032-501</t>
  </si>
  <si>
    <t>PANEL ASSY, SHELF</t>
  </si>
  <si>
    <t>B475032-1</t>
  </si>
  <si>
    <t>PANEL SHELF, BASE (.500 THK)</t>
  </si>
  <si>
    <t>B475084-515</t>
  </si>
  <si>
    <t>L.00</t>
  </si>
  <si>
    <t>PANEL ASSY, CONTOUR (OUTBOARD UPPER SECTION)</t>
  </si>
  <si>
    <t>B475084-15</t>
  </si>
  <si>
    <t>PANEL CONTOUR (OUTBOARD UPPER SECTION)_x000D_
 (.50THK)</t>
  </si>
  <si>
    <t>CDSP5903-3-500</t>
  </si>
  <si>
    <t>B473320-503</t>
  </si>
  <si>
    <t>B473320-3</t>
  </si>
  <si>
    <t>B473320-515</t>
  </si>
  <si>
    <t>SA</t>
  </si>
  <si>
    <t>B473320-17</t>
  </si>
  <si>
    <t>PANEL, MOUNTING (OVEN CONTROLLER) .25 THK</t>
  </si>
  <si>
    <t>B473320-517</t>
  </si>
  <si>
    <t>B473320-19</t>
  </si>
  <si>
    <t>IN</t>
  </si>
  <si>
    <t>NAS514P832-11</t>
  </si>
  <si>
    <t>NAS514P832-20P</t>
  </si>
  <si>
    <t>B471102-29</t>
  </si>
  <si>
    <t>N</t>
  </si>
  <si>
    <t>DOUBLER (.063 THK)</t>
  </si>
  <si>
    <t>B471187-1</t>
  </si>
  <si>
    <t>BLOCKER</t>
  </si>
  <si>
    <t>B611061-501</t>
  </si>
  <si>
    <t>BALL CATCH INSTALLATION</t>
  </si>
  <si>
    <t>244.21.110_STRIKE</t>
  </si>
  <si>
    <t>TWIN BALL CATCH, STRIKE</t>
  </si>
  <si>
    <t>TWIN BALL CATCH</t>
  </si>
  <si>
    <t>BRASS</t>
  </si>
  <si>
    <t>244.21.110_CATCH</t>
  </si>
  <si>
    <t>B611062-1</t>
  </si>
  <si>
    <t>SPACER</t>
  </si>
  <si>
    <t>NAS514P632-7P</t>
  </si>
  <si>
    <t>NAS514P632-4P</t>
  </si>
  <si>
    <t>B471187-3</t>
  </si>
  <si>
    <t>B471102-5</t>
  </si>
  <si>
    <t>REINFORCEMENT</t>
  </si>
  <si>
    <t>B471108-501</t>
  </si>
  <si>
    <t>BRACKET ASSY (SERVICE PANEL)</t>
  </si>
  <si>
    <t>B471108-1</t>
  </si>
  <si>
    <t>NAS602-5P</t>
  </si>
  <si>
    <t>B471188-1</t>
  </si>
  <si>
    <t>ML</t>
  </si>
  <si>
    <t>B491252-15</t>
  </si>
  <si>
    <t xml:space="preserve">DOUBLER_x000D_
MAKE FROM AL ALY 6061-T6/T651/T6511 SHEET .050 THK PER SAE-AMS-QQ-A-225/8 OR ASTM B221OR SAE-AMS-QQ-A-200/8 OR ASTM B221 _x000D_
OR ALY ALY 2024-T3/T351/T3511/T4 SHEET .050 THK PER SAE-AMS-QQ-A-225/6 OR ASTM B211 OR SAE-AMS-QQ-A-200/3 OR ASTM B221._x000D_
</t>
  </si>
  <si>
    <t>NAS1149F0332P</t>
  </si>
  <si>
    <t>WASHER, FLAT, #10, STEEL, CAD PLATE, GENERAL</t>
  </si>
  <si>
    <t>NAS6203-14</t>
  </si>
  <si>
    <t>BOLT, HEX HEAD, GRIP / SHORT THD, #10-32, ALLOY STEEL, 160 KSI, STRUCTURAL</t>
  </si>
  <si>
    <t>NAS602-4P</t>
  </si>
  <si>
    <t>NAS514P632-6P</t>
  </si>
  <si>
    <t>NAS1149FN832P</t>
  </si>
  <si>
    <t>WASHER, FLAT, #8, STEEL, CAD PLATE, GENERAL</t>
  </si>
  <si>
    <t>NAS514P832-10P</t>
  </si>
  <si>
    <t>Level</t>
  </si>
  <si>
    <t>Part Number</t>
  </si>
  <si>
    <t>Revision</t>
  </si>
  <si>
    <t>Description</t>
  </si>
  <si>
    <t>Nomenclature</t>
  </si>
  <si>
    <t>Material</t>
  </si>
  <si>
    <t>MASS1</t>
  </si>
  <si>
    <t>Drawing Code1</t>
  </si>
  <si>
    <t>Quantity</t>
  </si>
  <si>
    <t>B4718GADA-101</t>
  </si>
  <si>
    <t>NC.06</t>
  </si>
  <si>
    <t>TOP ASSY, LH GALLEY ANNEX</t>
  </si>
  <si>
    <t>TA</t>
  </si>
  <si>
    <t>PFG500104-401</t>
  </si>
  <si>
    <t>INSULATION BLANKET INSTALLATION</t>
  </si>
  <si>
    <t>PFG50004-65</t>
  </si>
  <si>
    <t>INSULATION</t>
  </si>
  <si>
    <t>MAGNIFOAM</t>
  </si>
  <si>
    <t>PFG50004-69</t>
  </si>
  <si>
    <t>PFG50004-111</t>
  </si>
  <si>
    <t>PFG50004-67</t>
  </si>
  <si>
    <t>PFG50004-71</t>
  </si>
  <si>
    <t>B471010-509-RFD2</t>
  </si>
  <si>
    <t>ECS INSTL</t>
  </si>
  <si>
    <t>B4718GADA-101-RFD</t>
  </si>
  <si>
    <t>NC.04</t>
  </si>
  <si>
    <t>TRIM &amp; FINISH, LH GALLEY</t>
  </si>
  <si>
    <t>TF</t>
  </si>
  <si>
    <t>B4718GADA-101-RFD2</t>
  </si>
  <si>
    <t>HARDWOOD</t>
  </si>
  <si>
    <t>FINISHED HARDWOOD</t>
  </si>
  <si>
    <t>B4718GADA-101-RFD3</t>
  </si>
  <si>
    <t>LAMINATE</t>
  </si>
  <si>
    <t>B4718GADA-101-RFD1</t>
  </si>
  <si>
    <t>WOOD VENEER</t>
  </si>
  <si>
    <t>FINISHED VENEER</t>
  </si>
  <si>
    <t>B4736GADA-501</t>
  </si>
  <si>
    <t>NC.03</t>
  </si>
  <si>
    <t>UPPER LH GALLEY ASSY</t>
  </si>
  <si>
    <t>B473538-509</t>
  </si>
  <si>
    <t>SLIDING DOOR ASSY</t>
  </si>
  <si>
    <t>B473538-1</t>
  </si>
  <si>
    <t>ALUMINUM DOOR (.040 THK)</t>
  </si>
  <si>
    <t>ALUMINUM DOOR</t>
  </si>
  <si>
    <t>DECORATIVE KNOB_x000D_
RICHELIEU</t>
  </si>
  <si>
    <t>DECORATIVE KNOB</t>
  </si>
  <si>
    <t>B473538-3</t>
  </si>
  <si>
    <t>STOPPER</t>
  </si>
  <si>
    <t>34085A5</t>
  </si>
  <si>
    <t>BALL-NOSE SPRING PLUNGERS  # 8-32_x000D_
MCMASTER</t>
  </si>
  <si>
    <t>BALL-NOSE SPRING PLUNGERS # 8-32</t>
  </si>
  <si>
    <t>B475043-501</t>
  </si>
  <si>
    <t>PANEL ASSY CLOSE-OUT (CRYSTAL COMPARTMENT)</t>
  </si>
  <si>
    <t>PANEL ASSY, CLOSE - OUT (CRYSTAL COMPARTMENT)</t>
  </si>
  <si>
    <t>B475043-1</t>
  </si>
  <si>
    <t>PANEL, CLOSE-OUT (CRYSTAL COMPARTMENT)</t>
  </si>
  <si>
    <t>CDSP5903-08-250</t>
  </si>
  <si>
    <t>B473535-513</t>
  </si>
  <si>
    <t>BEVELED LEXAN SLIDING DOOR ASSY</t>
  </si>
  <si>
    <t>B473535-13</t>
  </si>
  <si>
    <t>BEVELED LEXAN DOOR (LEXAN FMR604 .25 THK)</t>
  </si>
  <si>
    <t>BEVELED LEXAN DOOR</t>
  </si>
  <si>
    <t>LEXAN FMR604-116</t>
  </si>
  <si>
    <t>B473535-11</t>
  </si>
  <si>
    <t>3487-105</t>
  </si>
  <si>
    <t>HANDLE</t>
  </si>
  <si>
    <t>B473540-503</t>
  </si>
  <si>
    <t>DRAWER ASSY, MISC (UPPER SECTION)</t>
  </si>
  <si>
    <t>DRAWER ASSY</t>
  </si>
  <si>
    <t>A5210-15P</t>
  </si>
  <si>
    <t>SLIDE, QUICK DISCONNECT</t>
  </si>
  <si>
    <t>A5210-15P-COMP4</t>
  </si>
  <si>
    <t>DRAWER ATTACHMENT</t>
  </si>
  <si>
    <t>AL ALY 6061-T6</t>
  </si>
  <si>
    <t>A5210-15P-COMP3</t>
  </si>
  <si>
    <t>INNER RAIL</t>
  </si>
  <si>
    <t>A5210-15P-COMP2</t>
  </si>
  <si>
    <t>MIDDLE RAIL</t>
  </si>
  <si>
    <t>A5210-15P-COMP1</t>
  </si>
  <si>
    <t>OUTER RAIL</t>
  </si>
  <si>
    <t>RAIL, OUTER</t>
  </si>
  <si>
    <t>B473541-503</t>
  </si>
  <si>
    <t>DRAWER BOX ASSY, MISC. (UPPER SECTION)</t>
  </si>
  <si>
    <t>DRAWER BOX ASSY</t>
  </si>
  <si>
    <t>B473541-603</t>
  </si>
  <si>
    <t>PANEL ASSY, SIDE</t>
  </si>
  <si>
    <t>B473541-11</t>
  </si>
  <si>
    <t>PANEL, SIDE (.250 THK)</t>
  </si>
  <si>
    <t>PANEL, SIDE</t>
  </si>
  <si>
    <t>B473541-13</t>
  </si>
  <si>
    <t>PANEL, FRONT (.250 THK)</t>
  </si>
  <si>
    <t>B473541-15</t>
  </si>
  <si>
    <t>PANEL, BACK (.250 THK)</t>
  </si>
  <si>
    <t>PANEL, BACK</t>
  </si>
  <si>
    <t>B473541-604</t>
  </si>
  <si>
    <t>PANEL ASSY, SIDE (OPP)</t>
  </si>
  <si>
    <t>B473541-12</t>
  </si>
  <si>
    <t>PANEL, SIDE (OPP) (.250 THK)</t>
  </si>
  <si>
    <t>PANEL, SIDE (OPP)</t>
  </si>
  <si>
    <t>B473541-19</t>
  </si>
  <si>
    <t>PANEL,TOP (.250 THK)</t>
  </si>
  <si>
    <t>PANEL, TOP</t>
  </si>
  <si>
    <t>B473541-20</t>
  </si>
  <si>
    <t>PANEL, TOP (OPP) (.250 THK)</t>
  </si>
  <si>
    <t>PANEL, TOP (OPP)</t>
  </si>
  <si>
    <t>B473541-503-6A</t>
  </si>
  <si>
    <t>DECOR, LAMINATE</t>
  </si>
  <si>
    <t>B473541-17</t>
  </si>
  <si>
    <t>PANEL, BASE (.250 THK)</t>
  </si>
  <si>
    <t>B611305-513</t>
  </si>
  <si>
    <t>SLIDE ASSY, 15" LHS</t>
  </si>
  <si>
    <t>B611305-2</t>
  </si>
  <si>
    <t>B611305-1 LEVER (RHS)</t>
  </si>
  <si>
    <t>LEVER, MODIFIED</t>
  </si>
  <si>
    <t>A5215-15PV-001-CFG1</t>
  </si>
  <si>
    <t>A5215-COMP2</t>
  </si>
  <si>
    <t>ROCKER</t>
  </si>
  <si>
    <t>A5215-COMP3</t>
  </si>
  <si>
    <t>PIVOT, SPRING</t>
  </si>
  <si>
    <t>440C STAINLESS STEEL</t>
  </si>
  <si>
    <t>A5215-001-COMP1</t>
  </si>
  <si>
    <t>END BRACKET</t>
  </si>
  <si>
    <t>A5215-15PV-COMP4</t>
  </si>
  <si>
    <t>A5215-15PV-COMP2</t>
  </si>
  <si>
    <t>A5215-15PV-COMP3</t>
  </si>
  <si>
    <t>A5215-15PV-COMP1</t>
  </si>
  <si>
    <t>B473540-1</t>
  </si>
  <si>
    <t>SHIM BOLTARON #4330-1668-.060 THK</t>
  </si>
  <si>
    <t>SHIM</t>
  </si>
  <si>
    <t>BOLATRON 4330-1668</t>
  </si>
  <si>
    <t>NAS514P832-5P</t>
  </si>
  <si>
    <t>B473540-501</t>
  </si>
  <si>
    <t>DRAWER ASSY, MISC. (UPPER SECTION)</t>
  </si>
  <si>
    <t>A5210-13P</t>
  </si>
  <si>
    <t>A5210-13P-COMP4</t>
  </si>
  <si>
    <t>A5210-13P-COMP3</t>
  </si>
  <si>
    <t>A5210-13P-COMP2</t>
  </si>
  <si>
    <t>A5210-13P-COMP1</t>
  </si>
  <si>
    <t>B473541-501</t>
  </si>
  <si>
    <t xml:space="preserve">DRAWER BOX ASSY, MISC. (UPPER SECTION)_x000D_
</t>
  </si>
  <si>
    <t>B473541-602</t>
  </si>
  <si>
    <t>PANEL ASSY, SIDE (OPP. -501)</t>
  </si>
  <si>
    <t>B473541-2</t>
  </si>
  <si>
    <t>PANEL, SIDE OPP. -5 (.250 THK)</t>
  </si>
  <si>
    <t>PANEL, SIDE OPP. -5</t>
  </si>
  <si>
    <t>B473541-507-6A</t>
  </si>
  <si>
    <t>B473541-3</t>
  </si>
  <si>
    <t xml:space="preserve">PANEL, FRONT (.250 THK)_x000D_
</t>
  </si>
  <si>
    <t>B473541-5</t>
  </si>
  <si>
    <t>B473541-601</t>
  </si>
  <si>
    <t>B473541-1</t>
  </si>
  <si>
    <t>B473541-9</t>
  </si>
  <si>
    <t>PANEL, TOP (.250 THK)</t>
  </si>
  <si>
    <t>B473541-501-6A</t>
  </si>
  <si>
    <t>B473541-10</t>
  </si>
  <si>
    <t>PANEL, TOP OPP. -9 (.250 THK)</t>
  </si>
  <si>
    <t>PANEL,TOP OPP. -9</t>
  </si>
  <si>
    <t>B473541-7</t>
  </si>
  <si>
    <t>B611305-511</t>
  </si>
  <si>
    <t>SLIDE ASSY, 13" LHS</t>
  </si>
  <si>
    <t>A5215-13PV-001-CFG1</t>
  </si>
  <si>
    <t>A5215-13PV-COMP4</t>
  </si>
  <si>
    <t>A5215-13PV-COMP2</t>
  </si>
  <si>
    <t>A5215-13PV-COMP3</t>
  </si>
  <si>
    <t>A5215-13PV-COMP1</t>
  </si>
  <si>
    <t>B473540-3</t>
  </si>
  <si>
    <t>B481702-501</t>
  </si>
  <si>
    <t>CAP INSTL, DECORATIVE (LH GALLEY)</t>
  </si>
  <si>
    <t>CAP INSTL, DECORATIVE</t>
  </si>
  <si>
    <t>SJ3526-1-BGE-CFG0</t>
  </si>
  <si>
    <t>VELCRO HOOK</t>
  </si>
  <si>
    <t>B481702-1</t>
  </si>
  <si>
    <t>CAP  (LH GALLEY)</t>
  </si>
  <si>
    <t>CAP (LH GALLEY)</t>
  </si>
  <si>
    <t>SJ3527-1-BGE-CFG0</t>
  </si>
  <si>
    <t>VELCRO LOOP</t>
  </si>
  <si>
    <t>B471138-501</t>
  </si>
  <si>
    <t>REVEAL ASSY (LENS MOUNTING)</t>
  </si>
  <si>
    <t>REVEAL ASSY, LENS MOUNTING</t>
  </si>
  <si>
    <t>B471138-1</t>
  </si>
  <si>
    <t>MOLDING, REVEAL ASSY (LENS MOUNTING)</t>
  </si>
  <si>
    <t>MOLDING</t>
  </si>
  <si>
    <t>MS21209C0630</t>
  </si>
  <si>
    <t>INSERT, HELICAL COIL, COARSE THD, #6-32, CRES, PASSIVATE, GENERAL</t>
  </si>
  <si>
    <t>B473534-503</t>
  </si>
  <si>
    <t>MOLDING ASSY, LOWER TRACK</t>
  </si>
  <si>
    <t>B473534-3</t>
  </si>
  <si>
    <t>MOLDING, LOWER TRACK</t>
  </si>
  <si>
    <t>B471215-519</t>
  </si>
  <si>
    <t>PANEL ASSY, MOUNTING (OVEN CONTROLLER)</t>
  </si>
  <si>
    <t>PANEL ASSY, MOUNTING</t>
  </si>
  <si>
    <t>B471069-517</t>
  </si>
  <si>
    <t>B471069-17</t>
  </si>
  <si>
    <t>RU4T</t>
  </si>
  <si>
    <t>POWER OUTLET - RU4T</t>
  </si>
  <si>
    <t>SINGLE SOKET, UNIVERSAL RECEPTACLE, 230V-WHITE</t>
  </si>
  <si>
    <t>B481217-1</t>
  </si>
  <si>
    <t>L</t>
  </si>
  <si>
    <t>OUTLET SUPPORT BLOCK</t>
  </si>
  <si>
    <t>NAS601-5P</t>
  </si>
  <si>
    <t>SCREW, PAN HEAD, FULL THD, #6-32, ALLOY STEEL, 160 KSI, STRUCTURAL</t>
  </si>
  <si>
    <t>NAS1149FN616P</t>
  </si>
  <si>
    <t>WASHER, FLAT, #6, STEEL, CAD PLATE, GENERAL</t>
  </si>
  <si>
    <t>B471171-7</t>
  </si>
  <si>
    <t>LENS (WORK/NIGHT LIGHT) .093 THK</t>
  </si>
  <si>
    <t>LENS, WORK NIGHT LIGHT</t>
  </si>
  <si>
    <t>LEXAN 9604-829</t>
  </si>
  <si>
    <t>B473533-509</t>
  </si>
  <si>
    <t>HEADER ASSY</t>
  </si>
  <si>
    <t>B473533-601</t>
  </si>
  <si>
    <t>J.01</t>
  </si>
  <si>
    <t>PANEL ASSY (HEADER)</t>
  </si>
  <si>
    <t>PANEL ASSY</t>
  </si>
  <si>
    <t>B473533-1</t>
  </si>
  <si>
    <t>PANEL (HEADER)</t>
  </si>
  <si>
    <t>CDP A252</t>
  </si>
  <si>
    <t>0,226854</t>
  </si>
  <si>
    <t>B473533-9</t>
  </si>
  <si>
    <t>MOLDING, UPPER TRACK_x000D_
(HEADER ASSY)</t>
  </si>
  <si>
    <t>MOLDING, UPPER TRACK</t>
  </si>
  <si>
    <t>B473533-501-RFD1</t>
  </si>
  <si>
    <t>DECOR, VENEER</t>
  </si>
  <si>
    <t>B483533-23</t>
  </si>
  <si>
    <t>H</t>
  </si>
  <si>
    <t>BOLTARON 4330-1668</t>
  </si>
  <si>
    <t>B471106-501</t>
  </si>
  <si>
    <t>BRACKET ASSY_x000D_
(HEADER ATTACHMENT)</t>
  </si>
  <si>
    <t>BRACKET ASSY</t>
  </si>
  <si>
    <t>B471106-1</t>
  </si>
  <si>
    <t>B482472-503</t>
  </si>
  <si>
    <t>TAMBOUR DOOR INSTALLATION</t>
  </si>
  <si>
    <t>B482472-605</t>
  </si>
  <si>
    <t>TAMBOUR DOOR ASSY, LHG-FWD</t>
  </si>
  <si>
    <t>TAMBOUR DOOR ASSY</t>
  </si>
  <si>
    <t>B611029-9-CFG1</t>
  </si>
  <si>
    <t xml:space="preserve">SLAT BASE (FWD-LHG)_x000D_
MATL: AK1102, ALLUMINUM PLASTIOC SANDWICH SHEET, 2.00 MM THK, BY:_x000D_
MITSUBISHI CHEMICAL AMERICA (WILSON ART)_x000D_
</t>
  </si>
  <si>
    <t>SLAT BASE</t>
  </si>
  <si>
    <t>NONE</t>
  </si>
  <si>
    <t>B611029-15-CFG1</t>
  </si>
  <si>
    <t>VENEER SLATS (FWD-LHG)</t>
  </si>
  <si>
    <t>VENEER SLATS</t>
  </si>
  <si>
    <t>B482472-13</t>
  </si>
  <si>
    <t>HANDLE (FWD-LHG)</t>
  </si>
  <si>
    <t>MS21209C0610</t>
  </si>
  <si>
    <t>MS35206-227</t>
  </si>
  <si>
    <t>SCREW, PAN HEAD, FULL THD (UNC-2A), #6-32, STEEL, 60 KSI, GENERAL</t>
  </si>
  <si>
    <t>NAS1149FN632P</t>
  </si>
  <si>
    <t>B482472-5</t>
  </si>
  <si>
    <t>FRONT EDGE</t>
  </si>
  <si>
    <t>B482472-607</t>
  </si>
  <si>
    <t>TAMBOUR DOOR ASSY, LHG-AFT</t>
  </si>
  <si>
    <t>B611029-9-CFG2</t>
  </si>
  <si>
    <t xml:space="preserve">SLAT BASE (AFT-LHG)_x000D_
MATL: AK1102, ALLUMINUM PLASTIOC SANDWICH SHEET, 2.00 MM THK, BY:_x000D_
MITSUBISHI CHEMICAL AMERICA (WILSON ART)_x000D_
</t>
  </si>
  <si>
    <t>B611029-15-CFG2</t>
  </si>
  <si>
    <t>VENEER SLATS (AFT-LHG)</t>
  </si>
  <si>
    <t>B482472-15</t>
  </si>
  <si>
    <t>HANDLE (AFT-LHG)</t>
  </si>
  <si>
    <t>B482472-1</t>
  </si>
  <si>
    <t>HARDWOOD SLIDE</t>
  </si>
  <si>
    <t>B482472-3</t>
  </si>
  <si>
    <t>98002A105</t>
  </si>
  <si>
    <t xml:space="preserve">BINDING FASTENER DULL CHROME BARREL, #8-32X.75 LONG_x000D_
</t>
  </si>
  <si>
    <t>BINDING FASTENER DULL CHROME BARREL, #8-32X.75 LONG</t>
  </si>
  <si>
    <t>NAS514P832-9</t>
  </si>
  <si>
    <t>NAS6604-15</t>
  </si>
  <si>
    <t>BOLT, HEX HEAD, GRIP / LONG THD, 1/4-28, ALLOY STEEL, 160 KSI, STRUCTURAL</t>
  </si>
  <si>
    <t>MS21042L4</t>
  </si>
  <si>
    <t>NUT, HEX, SELF LOCKING, LOW HEIGHT, #4-40 ~ 3/8-24, ALLOY STEEL, 160 KSI, STRUCTURAL</t>
  </si>
  <si>
    <t>400-1409-01-L</t>
  </si>
  <si>
    <t>WAVEJET MICROWAVE OVEN_x000D_
MANUFACTURED BY TIA FURNISHED BY BA_x000D_
115V 300-700HZ 3PH DOOR HINGED ON LHS</t>
  </si>
  <si>
    <t>B473539-3</t>
  </si>
  <si>
    <t>TRACK, UPPER_x000D_
SLIDING DOOR MISC. STORAGE</t>
  </si>
  <si>
    <t>TRACK, UPPER</t>
  </si>
  <si>
    <t>B473539-1</t>
  </si>
  <si>
    <t>TRACK, LOWER_x000D_
SLIDING DOOR MISC. STORAGE</t>
  </si>
  <si>
    <t>TRACK, LOWER</t>
  </si>
  <si>
    <t>400-1377-01</t>
  </si>
  <si>
    <t>OVEN CONTROLER</t>
  </si>
  <si>
    <t>B475070-501</t>
  </si>
  <si>
    <t>B475070-1</t>
  </si>
  <si>
    <t>PANEL, CLOSE-OUT</t>
  </si>
  <si>
    <t>CDSP5904-08-750</t>
  </si>
  <si>
    <t>B472310-7</t>
  </si>
  <si>
    <t>COUNTER BULLNOSE</t>
  </si>
  <si>
    <t>B611023-503</t>
  </si>
  <si>
    <t>TIE ROD ASSY</t>
  </si>
  <si>
    <t>D001017-11</t>
  </si>
  <si>
    <t>FORK END</t>
  </si>
  <si>
    <t>CRES 17-4</t>
  </si>
  <si>
    <t>D001017-15</t>
  </si>
  <si>
    <t>TURNBUCKLE BODY</t>
  </si>
  <si>
    <t>D001017-501</t>
  </si>
  <si>
    <t>BREAK ALL SHARP EDGES .020 R MAX._x000D_
USE MINIMUM BEND RADIUS.</t>
  </si>
  <si>
    <t>CLIP ASSY</t>
  </si>
  <si>
    <t>D001017-601</t>
  </si>
  <si>
    <t>FINISH: PASSIVATE PER QQ-P-35 OR MIL-5-5002.</t>
  </si>
  <si>
    <t>BRACKET ASSEMBLY</t>
  </si>
  <si>
    <t>D001017-5</t>
  </si>
  <si>
    <t>MAT'L: CRES 17-4 PH ROD, ANNEALED AND COLD DRAWN PER SAE-AMS 5643.</t>
  </si>
  <si>
    <t>PIN, .375</t>
  </si>
  <si>
    <t>CRES 17-7</t>
  </si>
  <si>
    <t>D001017-1</t>
  </si>
  <si>
    <t>MAT'L: CRES 17-7 PH SHEET .040 THK, COND. A, PER MIL-S-25043 OR SAE-AMS 5528.</t>
  </si>
  <si>
    <t>CDEX0298</t>
  </si>
  <si>
    <t>EXTRUSION CLIP</t>
  </si>
  <si>
    <t>ULTEM 9076</t>
  </si>
  <si>
    <t>RA-75-13-1</t>
  </si>
  <si>
    <t>ROD END</t>
  </si>
  <si>
    <t>D001017-39</t>
  </si>
  <si>
    <t>WASHER SHOULDER</t>
  </si>
  <si>
    <t>NYLON 6</t>
  </si>
  <si>
    <t>B473531-525</t>
  </si>
  <si>
    <t>T</t>
  </si>
  <si>
    <t>PANEL ASSY, COUNTERTOP</t>
  </si>
  <si>
    <t>B473531-613</t>
  </si>
  <si>
    <t>B473531-21</t>
  </si>
  <si>
    <t>CDM057-61</t>
  </si>
  <si>
    <t>B473531-75</t>
  </si>
  <si>
    <t>GRANITE (.063 THK)</t>
  </si>
  <si>
    <t>GRANITE</t>
  </si>
  <si>
    <t>B471265-11</t>
  </si>
  <si>
    <t>LENS (CRYSTAL COMPARTMENT) .125 THK</t>
  </si>
  <si>
    <t>LENS, CRYSTAL COMPARTMENT</t>
  </si>
  <si>
    <t>LEXAN 9600</t>
  </si>
  <si>
    <t>VF</t>
  </si>
  <si>
    <t>B471168-501</t>
  </si>
  <si>
    <t>MIRROR ASSY (CRYSTAL COMPARTMENT)</t>
  </si>
  <si>
    <t>SJ3518FR-1-B-CFG0</t>
  </si>
  <si>
    <t>VELCRO (LOOP)</t>
  </si>
  <si>
    <t>SJ3519FR-1-B-CFG0</t>
  </si>
  <si>
    <t>VELCRO (HOOK) - 1" WIDTH - BLACK</t>
  </si>
  <si>
    <t>VELCRO (HOOK)</t>
  </si>
  <si>
    <t>VELCRO</t>
  </si>
  <si>
    <t>B471168-5</t>
  </si>
  <si>
    <t>LEXAN</t>
  </si>
  <si>
    <t>B471168-1</t>
  </si>
  <si>
    <t>MIRROR (CRYSTAL COMPARTMENT)</t>
  </si>
  <si>
    <t>MIRROR</t>
  </si>
  <si>
    <t>B471168-501-RFD</t>
  </si>
  <si>
    <t>FOR DWG ONLY</t>
  </si>
  <si>
    <t>B471262-509</t>
  </si>
  <si>
    <t>TOUCHSCREEN MONITOR INSTL (10.6 TOUCHSCREEN)</t>
  </si>
  <si>
    <t>B471264-509</t>
  </si>
  <si>
    <t>PANEL ASSY. SERVICE MONITOR (10.6 TOUCHSCREEN)</t>
  </si>
  <si>
    <t xml:space="preserve">PANEL ASSY. SERVICE </t>
  </si>
  <si>
    <t>B471264-609</t>
  </si>
  <si>
    <t>PANEL ASSY, 10.6" LCD MONITOR</t>
  </si>
  <si>
    <t>PANEL ASSY, CLOSEOUT</t>
  </si>
  <si>
    <t>B471264-15</t>
  </si>
  <si>
    <t>PANEL  .50 THK CURVED</t>
  </si>
  <si>
    <t>CDPA252</t>
  </si>
  <si>
    <t>LU</t>
  </si>
  <si>
    <t>B471264-509-RFD1</t>
  </si>
  <si>
    <t>B471264-17</t>
  </si>
  <si>
    <t xml:space="preserve">FOAM SEAL, .063 THK,  PART NO. R310V063 (RUBATEX) </t>
  </si>
  <si>
    <t>SEAL</t>
  </si>
  <si>
    <t>RUBATEX</t>
  </si>
  <si>
    <t>B471110-501</t>
  </si>
  <si>
    <t>BRACKET ASSY, HINGE (10.4 MONITOR)</t>
  </si>
  <si>
    <t>MS20253-2-4425</t>
  </si>
  <si>
    <t>PIN (.089 DIA X 4.425 LG)</t>
  </si>
  <si>
    <t>B471110-1</t>
  </si>
  <si>
    <t>HINGE HALF (EXTRUSION MS20001H9)</t>
  </si>
  <si>
    <t>HINGE HALF</t>
  </si>
  <si>
    <t>B471110-3</t>
  </si>
  <si>
    <t>STAN0005</t>
  </si>
  <si>
    <t xml:space="preserve">TORSION SPRING,  0.032 X 0.210_x000D_
</t>
  </si>
  <si>
    <t xml:space="preserve">SPRING,TORSION </t>
  </si>
  <si>
    <t>MS20426AD3-3A</t>
  </si>
  <si>
    <t>RIVET, FLAT HEAD, SOLID, 3/32, AL 2117-T4, ANODIZE, GENERAL</t>
  </si>
  <si>
    <t>B471109-7</t>
  </si>
  <si>
    <t>BRACKET (MONTOR)</t>
  </si>
  <si>
    <t>B471109-8</t>
  </si>
  <si>
    <t>BRACKET (MONITOR)</t>
  </si>
  <si>
    <t>BRACKET OPP.-1</t>
  </si>
  <si>
    <t>B471264-509-RFD2</t>
  </si>
  <si>
    <t>EDGE, HARDWOOD</t>
  </si>
  <si>
    <t>B471109-9</t>
  </si>
  <si>
    <t>B471264-5</t>
  </si>
  <si>
    <t xml:space="preserve">RUBATEX FOAM SKF 6231.13 </t>
  </si>
  <si>
    <t>PAD, RUBATEX .50X.13X1.25</t>
  </si>
  <si>
    <t>175H7100</t>
  </si>
  <si>
    <t>TWO PIECE WING MOUNTING PLATE</t>
  </si>
  <si>
    <t>CLIP MOUNTING PLATE</t>
  </si>
  <si>
    <t>79A5552</t>
  </si>
  <si>
    <t>BLUM HINGE</t>
  </si>
  <si>
    <t>B471137-1</t>
  </si>
  <si>
    <t>HINGE SHIM</t>
  </si>
  <si>
    <t>NAS603-6P</t>
  </si>
  <si>
    <t>F7004417093-101</t>
  </si>
  <si>
    <t>10.6" HI-DEF TOUCH SCREEN MONITOR</t>
  </si>
  <si>
    <t>NAS517-2-10</t>
  </si>
  <si>
    <t>SCREW, FLAT HEAD, GRIP, #8-32, ALLOY STEEL, 160 KSI, STRUCTURAL</t>
  </si>
  <si>
    <t>B471141-1</t>
  </si>
  <si>
    <t>HINGED DOOR SHIM, GALLEY_x000D_
THK, AS REQUIRED (HARDWOOD)</t>
  </si>
  <si>
    <t>HINGED DOOR SHIM, GALLEY</t>
  </si>
  <si>
    <t>UNFINISHED HARDWOOD</t>
  </si>
  <si>
    <t>NAS517-2-14</t>
  </si>
  <si>
    <t>B471107-501</t>
  </si>
  <si>
    <t>BRACKET ASSY, SUPPORT (CRYSTAL LIGHTING)</t>
  </si>
  <si>
    <t>BRACKET ASSY, LH GALLEY</t>
  </si>
  <si>
    <t>B471107-1</t>
  </si>
  <si>
    <t>BRACKET .040 THK</t>
  </si>
  <si>
    <t>MS21059L06</t>
  </si>
  <si>
    <t>NUT PLATE, TWO LUG, FLOATING, #6-32, ALLOY STEEL, 125 KSI, GENERAL</t>
  </si>
  <si>
    <t>MS20426AD3-2A</t>
  </si>
  <si>
    <t>MS27039-4-07</t>
  </si>
  <si>
    <t>SCREW, PAN HEAD, GRIP, 1/4-28, ALLOY STEEL, 125 KSI, GENERAL</t>
  </si>
  <si>
    <t>MS24694-S4</t>
  </si>
  <si>
    <t>SCREW, FLAT HEAD, GRIP, #8-32, ALLOY STEEL, 125 KSI, GENERAL</t>
  </si>
  <si>
    <t>NAS517-4-19</t>
  </si>
  <si>
    <t>SCREW, FLAT HEAD, GRIP, 1/4-28, ALLOY STEEL, 160 KSI, STRUCTURAL</t>
  </si>
  <si>
    <t>NAS1149F0432P</t>
  </si>
  <si>
    <t>WASHER, FLAT, 1/4, STEEL, CAD PLATE, GENERAL</t>
  </si>
  <si>
    <t>94639A568</t>
  </si>
  <si>
    <t>SPACER, .485-.515 OD X .287-.257 ID X .188 LG</t>
  </si>
  <si>
    <t>NYLON 6/6</t>
  </si>
  <si>
    <t>MS24694-S53</t>
  </si>
  <si>
    <t>SCREW, FLAT HEAD, GRIP, #10-32, ALLOY STEEL, 125 KSI, GENERAL</t>
  </si>
  <si>
    <t>MS24694-S7</t>
  </si>
  <si>
    <t>MS24694-S15</t>
  </si>
  <si>
    <t>MS24694-S21</t>
  </si>
  <si>
    <t>B4726GADA-501</t>
  </si>
  <si>
    <t>NC.01</t>
  </si>
  <si>
    <t xml:space="preserve">LOWER LH GALLEY ASSY </t>
  </si>
  <si>
    <t>LOWER LH GALLEY ASSY</t>
  </si>
  <si>
    <t>B471516-517</t>
  </si>
  <si>
    <t>GRILL INSTALLATION, LH GALLEY</t>
  </si>
  <si>
    <t>GRILL INSTALLATION</t>
  </si>
  <si>
    <t>B611050-1</t>
  </si>
  <si>
    <t>BRACKET, ORDINANCE SIGN</t>
  </si>
  <si>
    <t>B471516-617</t>
  </si>
  <si>
    <t>GRILL ASSY</t>
  </si>
  <si>
    <t>B471516-19</t>
  </si>
  <si>
    <t>GRILL TRIM</t>
  </si>
  <si>
    <t>B471516-41</t>
  </si>
  <si>
    <t>B471516-43</t>
  </si>
  <si>
    <t>GRILL</t>
  </si>
  <si>
    <t>WEIGHED</t>
  </si>
  <si>
    <t>B471516-13</t>
  </si>
  <si>
    <t>B471516-517-RFD</t>
  </si>
  <si>
    <t>MS20470AD5-4</t>
  </si>
  <si>
    <t>RIVET, PAN HEAD, SOLID, 5/32, AL 2117-T4, CHEM FILM, GENERAL</t>
  </si>
  <si>
    <t>B472161-507</t>
  </si>
  <si>
    <t>DRAWER ASSY (CHINA)</t>
  </si>
  <si>
    <t>B472165-501</t>
  </si>
  <si>
    <t>B472165-603</t>
  </si>
  <si>
    <t>B472165-3</t>
  </si>
  <si>
    <t>B472165-601</t>
  </si>
  <si>
    <t>B472165-1</t>
  </si>
  <si>
    <t>B472165-9</t>
  </si>
  <si>
    <t>B472165-605</t>
  </si>
  <si>
    <t>B472165-5</t>
  </si>
  <si>
    <t>CDP A057</t>
  </si>
  <si>
    <t>B472165-7</t>
  </si>
  <si>
    <t>ATR-150-1875F</t>
  </si>
  <si>
    <t>PIN (ATR) 1.5 LG</t>
  </si>
  <si>
    <t>A5210-18P</t>
  </si>
  <si>
    <t>A5210-18P-COMP4</t>
  </si>
  <si>
    <t>A5210-18P-COMP3</t>
  </si>
  <si>
    <t>A5210-18P-COMP2</t>
  </si>
  <si>
    <t>A5210-18P-COMP1</t>
  </si>
  <si>
    <t>B472161-505</t>
  </si>
  <si>
    <t>B472164-501</t>
  </si>
  <si>
    <t>B472164-603</t>
  </si>
  <si>
    <t>B472164-3</t>
  </si>
  <si>
    <t>B472164-601</t>
  </si>
  <si>
    <t>B472164-1</t>
  </si>
  <si>
    <t>B472164-9</t>
  </si>
  <si>
    <t>B472164-605</t>
  </si>
  <si>
    <t>B472164-5</t>
  </si>
  <si>
    <t>B472164-7</t>
  </si>
  <si>
    <t>B472161-503</t>
  </si>
  <si>
    <t>B472163-501</t>
  </si>
  <si>
    <t>B472163-603</t>
  </si>
  <si>
    <t>B472163-3</t>
  </si>
  <si>
    <t>B472163-601</t>
  </si>
  <si>
    <t>B472163-1</t>
  </si>
  <si>
    <t>B472163-9</t>
  </si>
  <si>
    <t>B472163-605</t>
  </si>
  <si>
    <t>B472163-5</t>
  </si>
  <si>
    <t>B472163-7</t>
  </si>
  <si>
    <t>B611010-531</t>
  </si>
  <si>
    <t xml:space="preserve">STRIKER INSTALLATION_x000D_
</t>
  </si>
  <si>
    <t>STRIKER INSTALLATION</t>
  </si>
  <si>
    <t>D001014-29</t>
  </si>
  <si>
    <t>PLATE, UPPER</t>
  </si>
  <si>
    <t>D001014-13</t>
  </si>
  <si>
    <t>WIRE STRIKER, FLAT</t>
  </si>
  <si>
    <t>CRES 303</t>
  </si>
  <si>
    <t>B611015-7</t>
  </si>
  <si>
    <t>SHIM, WIRE STRIKER</t>
  </si>
  <si>
    <t>D001014-35</t>
  </si>
  <si>
    <t>SHIM, STRIKER</t>
  </si>
  <si>
    <t>D001014-511</t>
  </si>
  <si>
    <t>STOPPER ASSY</t>
  </si>
  <si>
    <t>D001014-53</t>
  </si>
  <si>
    <t>STOPPER PAD</t>
  </si>
  <si>
    <t>D001014-9</t>
  </si>
  <si>
    <t>D001014-49</t>
  </si>
  <si>
    <t>FRICTION PAD</t>
  </si>
  <si>
    <t>ISODAMP-C-1002</t>
  </si>
  <si>
    <t>NAS514P832-14P</t>
  </si>
  <si>
    <t>400-1317-01-L</t>
  </si>
  <si>
    <t>OVEN (LEFT HAND HINGE DOOR)_x000D_
MADE BY TIA_x000D_
SUPPLIED BY BOMBARDIER</t>
  </si>
  <si>
    <t>OVEN (LEFT HAND HINGE DOOR)</t>
  </si>
  <si>
    <t>B472041-1</t>
  </si>
  <si>
    <t>INSULATION (HEAT RESISTANT MATERIAL)</t>
  </si>
  <si>
    <t>CDM200-90-1</t>
  </si>
  <si>
    <t>B477004-523</t>
  </si>
  <si>
    <t>BONDED STRUCTURE ASSY, LH LOWER GALLEY</t>
  </si>
  <si>
    <t>B475023-501</t>
  </si>
  <si>
    <t>PANEL ASSY, REMOVABLE</t>
  </si>
  <si>
    <t>B475023-1</t>
  </si>
  <si>
    <t>PANEL, REMOVABLE</t>
  </si>
  <si>
    <t>B475013-513</t>
  </si>
  <si>
    <t>PANEL ASSY, SUB-FLOOR</t>
  </si>
  <si>
    <t>B475013-21</t>
  </si>
  <si>
    <t>H.01</t>
  </si>
  <si>
    <t>PANEL, FRONT, SUB-FLOOR (LOWER SECTION LH)</t>
  </si>
  <si>
    <t>CDP A279</t>
  </si>
  <si>
    <t>B475013-31</t>
  </si>
  <si>
    <t>PANEL, SUB-FLOOR (LOWER SECTION LH)</t>
  </si>
  <si>
    <t>PANEL, SUB-FLOOR</t>
  </si>
  <si>
    <t>B611031-501</t>
  </si>
  <si>
    <t>FLOOR FITTING INSLT- SEAT TRACK</t>
  </si>
  <si>
    <t>D001021-55</t>
  </si>
  <si>
    <t xml:space="preserve">FINISH: CLEAR ANODIZE PER MIL-A-8625 TYPE II, CLASS 1. </t>
  </si>
  <si>
    <t>MAIN FITTING</t>
  </si>
  <si>
    <t>D001022-13</t>
  </si>
  <si>
    <t>FINISH: CLEAR ANODIZE PER MIL-A-8625 TYPE II, CLASS 1._x000D_
BASED ON: B611032-15</t>
  </si>
  <si>
    <t>FLOOR FITTING - DOUBLER</t>
  </si>
  <si>
    <t>D001022-11</t>
  </si>
  <si>
    <t>FINISH: CLEAR ANODIZE PER MIL-A-8625 TYPE II, CLASS 1._x000D_
BASED ON: B611032-13</t>
  </si>
  <si>
    <t>NAS603-8P</t>
  </si>
  <si>
    <t>B475018-505</t>
  </si>
  <si>
    <t>F.00</t>
  </si>
  <si>
    <t>B475018-5</t>
  </si>
  <si>
    <t>PANEL, AFT</t>
  </si>
  <si>
    <t>B475014-513</t>
  </si>
  <si>
    <t>PANEL ASSY, DIVIDER, HORIZONTAL (FWD/AFT)</t>
  </si>
  <si>
    <t>B475014-13</t>
  </si>
  <si>
    <t>PANEL, DIVIDER, HORIZONTAL (FWD/AFT)</t>
  </si>
  <si>
    <t>B475014-511</t>
  </si>
  <si>
    <t>B475014-11</t>
  </si>
  <si>
    <t>B475014-507</t>
  </si>
  <si>
    <t>B475014-7</t>
  </si>
  <si>
    <t>CDSP5903-4-500</t>
  </si>
  <si>
    <t>INSERT, THRU HOLE, 1/4-28, STEEL, CAD PLATE, GENERAL</t>
  </si>
  <si>
    <t>B475014-501</t>
  </si>
  <si>
    <t>B475014-1</t>
  </si>
  <si>
    <t>B475016-501</t>
  </si>
  <si>
    <t>B475016-1</t>
  </si>
  <si>
    <t xml:space="preserve">PANEL </t>
  </si>
  <si>
    <t>B471102-1</t>
  </si>
  <si>
    <t>B471102-45</t>
  </si>
  <si>
    <t>B471102-9</t>
  </si>
  <si>
    <t>B475019-523</t>
  </si>
  <si>
    <t>K.03</t>
  </si>
  <si>
    <t>PANEL ASSY, DIVIDER (STRUCTURAL, LOWER SECTION)</t>
  </si>
  <si>
    <t>B475019-23</t>
  </si>
  <si>
    <t>PANEL , DIVIDER (STRUCTURAL, LOWER SECTION)</t>
  </si>
  <si>
    <t>PANEL , DIVIDER</t>
  </si>
  <si>
    <t>B475020-513</t>
  </si>
  <si>
    <t>PANEL ASSY, FWD (STRUCTURAL, LOWER SECTION)</t>
  </si>
  <si>
    <t>PANEL ASSY, FWD</t>
  </si>
  <si>
    <t>B475020-13</t>
  </si>
  <si>
    <t>PANEL  (STRUCTURAL, LOWER SECTION)</t>
  </si>
  <si>
    <t>CDSP5905-3-20</t>
  </si>
  <si>
    <t>B475021-501</t>
  </si>
  <si>
    <t>PANEL ASSY, BACK (MAIN, LOWER SECTION)</t>
  </si>
  <si>
    <t>PANEL ASSY, BACK</t>
  </si>
  <si>
    <t>B475021-1</t>
  </si>
  <si>
    <t>PANEL, BACK (MAIN, LOWER SECTION)</t>
  </si>
  <si>
    <t>CDSP5905-06-20</t>
  </si>
  <si>
    <t>CDSP5906-08-750</t>
  </si>
  <si>
    <t>B475015-503</t>
  </si>
  <si>
    <t>B475015-3</t>
  </si>
  <si>
    <t>B475017-507</t>
  </si>
  <si>
    <t>G.00</t>
  </si>
  <si>
    <t>PANEL ASSY DIVIDER, PULL-OUT WORK SURFACE RH</t>
  </si>
  <si>
    <t>PANEL ASSY DIVIDER</t>
  </si>
  <si>
    <t>B475017-7</t>
  </si>
  <si>
    <t>B475017-503</t>
  </si>
  <si>
    <t>PANEL ASSY DIVIDER, PULL-OUT WORK SURFACE LH</t>
  </si>
  <si>
    <t>B475017-3</t>
  </si>
  <si>
    <t>B471111-5</t>
  </si>
  <si>
    <t>ACCES PANEL</t>
  </si>
  <si>
    <t>B471103-1</t>
  </si>
  <si>
    <t>ANGLE BRACKET</t>
  </si>
  <si>
    <t>EX</t>
  </si>
  <si>
    <t>B611031-511</t>
  </si>
  <si>
    <t>FLOOR FITTING INSTL - FLOOR PANEL</t>
  </si>
  <si>
    <t>D001021-53</t>
  </si>
  <si>
    <t>D001022-15</t>
  </si>
  <si>
    <t>FINISH: CLEAR ANODIZE PER MIL-A-8625 TYPE II, CLASS 1._x000D_
BASED ON: B611032-23</t>
  </si>
  <si>
    <t>B471104-9</t>
  </si>
  <si>
    <t>REINFORCEMENT (UPPER TIE-ROD)</t>
  </si>
  <si>
    <t>B471104-11</t>
  </si>
  <si>
    <t>REINFORCEMENTS (GALLEY ATTACHMENTS)</t>
  </si>
  <si>
    <t>B471071-501</t>
  </si>
  <si>
    <t>B471071-1</t>
  </si>
  <si>
    <t>B471103-3</t>
  </si>
  <si>
    <t>B471112-1</t>
  </si>
  <si>
    <t>ANGLE BRACKET (NESTING DOOR CLOSEOUT)</t>
  </si>
  <si>
    <t>B611031-507</t>
  </si>
  <si>
    <t>FLOOR FITTING INSTL-SEAT TRACK</t>
  </si>
  <si>
    <t>D001021-49</t>
  </si>
  <si>
    <t>BUSH - OUTER ECCENTRIC</t>
  </si>
  <si>
    <t>D001023-509</t>
  </si>
  <si>
    <t>BASED ON: B611009-501</t>
  </si>
  <si>
    <t>ISOLATOR ASSY</t>
  </si>
  <si>
    <t>D001021-75</t>
  </si>
  <si>
    <t>ISOLATOR - UPPER</t>
  </si>
  <si>
    <t>SILICONE ELASTOMER S</t>
  </si>
  <si>
    <t>D001021-51</t>
  </si>
  <si>
    <t>HOUSING - ISOLATOR</t>
  </si>
  <si>
    <t>B611031-501-RFD1</t>
  </si>
  <si>
    <t>PANEL, FLOOR, SLAVE</t>
  </si>
  <si>
    <t>NAS6605-18</t>
  </si>
  <si>
    <t>BOLT, HEX HEAD, GRIP / LONG THD, 5/16-24, ALLOY STEEL, 160 KSI, STRUCTURAL</t>
  </si>
  <si>
    <t>AN970-5</t>
  </si>
  <si>
    <t>WASHER, FLAT, LARGE O.D., 5/16, STEEL, CAD PLATE, GENERAL</t>
  </si>
  <si>
    <t>CDSP1904-505</t>
  </si>
  <si>
    <t>RETAINER ASSY</t>
  </si>
  <si>
    <t>CDSP1904-1</t>
  </si>
  <si>
    <t>RETAINER</t>
  </si>
  <si>
    <t>MS21209F5-10</t>
  </si>
  <si>
    <t>INSERT, HELICAL COIL, FINE THD, 5/16-24, CRES, PASSIVATE, GENERAL</t>
  </si>
  <si>
    <t>CDSP1904-503</t>
  </si>
  <si>
    <t>CDSP1904-3</t>
  </si>
  <si>
    <t>MS21209F4-10</t>
  </si>
  <si>
    <t>INSERT, HELICAL COIL, FINE THD, 1/4-28, CRES, PASSIVATE, GENERAL</t>
  </si>
  <si>
    <t>C471040-RFD1</t>
  </si>
  <si>
    <t>ACFT FLOOR ASSY</t>
  </si>
  <si>
    <t>C471040-RFD4</t>
  </si>
  <si>
    <t>A/C BEAM, SLAVE</t>
  </si>
  <si>
    <t>C471040-RFD5</t>
  </si>
  <si>
    <t>SEAT TRACK, SUPPORT, SLAVE</t>
  </si>
  <si>
    <t>C471040-RFD3</t>
  </si>
  <si>
    <t>D001023-511</t>
  </si>
  <si>
    <t>BASED ON: B611009-503</t>
  </si>
  <si>
    <t>D001021-57</t>
  </si>
  <si>
    <t>FLOOR PLATE (SEAT TRACK)</t>
  </si>
  <si>
    <t>D001021-73</t>
  </si>
  <si>
    <t>ISOLATOR - LOWER (HEAVYWEIGHT)</t>
  </si>
  <si>
    <t>D001021-61</t>
  </si>
  <si>
    <t>ISOLATOR SLEEVE</t>
  </si>
  <si>
    <t>D001021-47</t>
  </si>
  <si>
    <t>BUSH - INNER ECCENTRIC (5/16 ID)</t>
  </si>
  <si>
    <t>C471040-RFD2</t>
  </si>
  <si>
    <t>TM415300-144_REF-201</t>
  </si>
  <si>
    <t>SEAT TRACK, SLAVE</t>
  </si>
  <si>
    <t>NAS1204-2</t>
  </si>
  <si>
    <t>SCREW, FLAT HEAD, GRIP / SHORT THD, 1/4-28, ALLOY STEEL, 160 KSI, STRUCTURAL</t>
  </si>
  <si>
    <t>MS24694-S11</t>
  </si>
  <si>
    <t>B471101-1</t>
  </si>
  <si>
    <t>ANGLE BRACKET (REMOVABLE PANELS)</t>
  </si>
  <si>
    <t>B471102-11</t>
  </si>
  <si>
    <t>P</t>
  </si>
  <si>
    <t>B471255-501</t>
  </si>
  <si>
    <t>NESTING DOOR TRACK ASSY</t>
  </si>
  <si>
    <t>B611091-503</t>
  </si>
  <si>
    <t>B611091-3</t>
  </si>
  <si>
    <t>B611091-5</t>
  </si>
  <si>
    <t>BUMPER</t>
  </si>
  <si>
    <t>NEOPRENE RUBBER AVERAGE VALUE</t>
  </si>
  <si>
    <t>B611091-11</t>
  </si>
  <si>
    <t>B471255-1</t>
  </si>
  <si>
    <t>H.00</t>
  </si>
  <si>
    <t>RUNNER</t>
  </si>
  <si>
    <t>408.11.550</t>
  </si>
  <si>
    <t>BALL BEARING SLIDE, 22 IN RAIL, HAFELE</t>
  </si>
  <si>
    <t>408.11.550_PLASTIC CAP</t>
  </si>
  <si>
    <t>PLASTIC CAP</t>
  </si>
  <si>
    <t>408.11.550_SUPPORT PLATE</t>
  </si>
  <si>
    <t>SUPPORT PLATE,  HAFELE SLIDE</t>
  </si>
  <si>
    <t>408.11.550_RAIL 22 IN</t>
  </si>
  <si>
    <t>RAIL 22 IN, HAFELE</t>
  </si>
  <si>
    <t>B471255-3</t>
  </si>
  <si>
    <t>DELRIN</t>
  </si>
  <si>
    <t>B471255-7</t>
  </si>
  <si>
    <t>NAS514P632-8P</t>
  </si>
  <si>
    <t>NAS514P832-3P</t>
  </si>
  <si>
    <t>CDSP5801-2AL</t>
  </si>
  <si>
    <t>WASHER, CSK 100 DEG., #8, AL 6061-T6, ANODIZE, GENERAL</t>
  </si>
  <si>
    <t>MS35206-240</t>
  </si>
  <si>
    <t>SCREW, PAN HEAD, FULL THD (UNC-2A), #8-32, STEEL, 60 KSI, GENERAL</t>
  </si>
  <si>
    <t>NAS1149FN816P</t>
  </si>
  <si>
    <t>B472161-509</t>
  </si>
  <si>
    <t>DRAWER ASSY (MISCELLANEOUS)</t>
  </si>
  <si>
    <t>B472166-501</t>
  </si>
  <si>
    <t>B472166-603</t>
  </si>
  <si>
    <t>B472166-3</t>
  </si>
  <si>
    <t>B472166-601</t>
  </si>
  <si>
    <t>B472166-1</t>
  </si>
  <si>
    <t>B472166-9</t>
  </si>
  <si>
    <t>B472166-605</t>
  </si>
  <si>
    <t>B472166-5</t>
  </si>
  <si>
    <t>B472166-7</t>
  </si>
  <si>
    <t>MDB9075-0078-3</t>
  </si>
  <si>
    <t>DECOMPRESSION DIAPHRAGM INSTL._x000D_
SUPPLIED BY BOMBARDIER</t>
  </si>
  <si>
    <t>DECOMPRESSION DIAPHRAGM INSTL.</t>
  </si>
  <si>
    <t>MDB9075-0078-32</t>
  </si>
  <si>
    <t>MDB9075-0078-34</t>
  </si>
  <si>
    <t>DIAPHRAGM</t>
  </si>
  <si>
    <t>MDB9075-0078-33</t>
  </si>
  <si>
    <t>MDB9075-0078-31</t>
  </si>
  <si>
    <t>FRAME</t>
  </si>
  <si>
    <t>NAS6604-16</t>
  </si>
  <si>
    <t>B471132-501</t>
  </si>
  <si>
    <t>FITTING ASSY ('Y' ATTACHEMENT)</t>
  </si>
  <si>
    <t>B471132-1</t>
  </si>
  <si>
    <t>FITTING ('Y' ATTACHEMENT)</t>
  </si>
  <si>
    <t>NAS77-4-020</t>
  </si>
  <si>
    <t>BUSHING FLANGED, PRESS FIT, 1/4, STEEL, CAD PLATE, GENERAL</t>
  </si>
  <si>
    <t>MS20426AD3-5A</t>
  </si>
  <si>
    <t>175H710-180</t>
  </si>
  <si>
    <t>MOUNTING PLATE (RICHELIEU)</t>
  </si>
  <si>
    <t>MOUNTING PLATE</t>
  </si>
  <si>
    <t>NAS514P832-12P</t>
  </si>
  <si>
    <t>94639A503</t>
  </si>
  <si>
    <t>SPACER, .485-.515 OD X .287-.257 ID X .500 LG</t>
  </si>
  <si>
    <t>NAS6204-16</t>
  </si>
  <si>
    <t>BOLT, HEX HEAD, GRIP / SHORT THD, 1/4-28, ALLOY STEEL, 160 KSI, STRUCTURAL</t>
  </si>
  <si>
    <t>B473506-1</t>
  </si>
  <si>
    <t>SHIM (BOLTARON)</t>
  </si>
  <si>
    <t>SHIM, BOLTARON</t>
  </si>
  <si>
    <t>B611010-529</t>
  </si>
  <si>
    <t>D001014-37</t>
  </si>
  <si>
    <t>SHIM, STRIKER, ADJUSTABLE</t>
  </si>
  <si>
    <t>NAS6203-16</t>
  </si>
  <si>
    <t>B471172-503</t>
  </si>
  <si>
    <t>TRIM MOLDING ASSY</t>
  </si>
  <si>
    <t>B471172-3</t>
  </si>
  <si>
    <t>TRIM MOLDING_x000D_
MAKE FROM BOLTARON .25 THK_x000D_
4330-3530-250HC</t>
  </si>
  <si>
    <t>TRIM MOLDING</t>
  </si>
  <si>
    <t>B611085-3</t>
  </si>
  <si>
    <t>BRACKET, CONNECTOR</t>
  </si>
  <si>
    <t>B611085-5</t>
  </si>
  <si>
    <t>B476151-501</t>
  </si>
  <si>
    <t>PULL-OUT SURFACE ASSY</t>
  </si>
  <si>
    <t>PULL-OUT SURFACE ASSY (AFT/TOUCH-LATCH)</t>
  </si>
  <si>
    <t>NAS43HT3-18</t>
  </si>
  <si>
    <t>SPACER SLEEVE, SCREW AND BOLT - .190 DIA X .281 LG</t>
  </si>
  <si>
    <t>NAS1352-06-10</t>
  </si>
  <si>
    <t>SCREW, CAP, SOCKET HEAD, GRIP, #6-32, ALLOY STEEL, 160 KSI, STRUCTURAL</t>
  </si>
  <si>
    <t>TL1157</t>
  </si>
  <si>
    <t>STRIKE</t>
  </si>
  <si>
    <t>94355A337</t>
  </si>
  <si>
    <t>18-8 SS FLAT POINT SOCKET SET SCREW 10-32 THREAD, 1/2" LENGTH_x000D_
MCMASTER-CARR</t>
  </si>
  <si>
    <t>18-8 SS FLAT POINT SOCKET SET SCREW 10-32 THREAD, 1/2" LENGTH</t>
  </si>
  <si>
    <t>B476153-505</t>
  </si>
  <si>
    <t>PULL-OUT WORK SURFACE BONDED STRUCTURE</t>
  </si>
  <si>
    <t>BONDED STRUCTURE</t>
  </si>
  <si>
    <t>B476153-621</t>
  </si>
  <si>
    <t>PANEL ASSY SIDE</t>
  </si>
  <si>
    <t>B476153-21</t>
  </si>
  <si>
    <t>PULL-OUT SURFACE PANEL .50 THK</t>
  </si>
  <si>
    <t>PANEL SIDE .50 THK</t>
  </si>
  <si>
    <t>B476153-623</t>
  </si>
  <si>
    <t>PANEL ASSY FRONT</t>
  </si>
  <si>
    <t>B476153-23</t>
  </si>
  <si>
    <t>PANEL FRONT</t>
  </si>
  <si>
    <t>CDPA057</t>
  </si>
  <si>
    <t>B476153-619</t>
  </si>
  <si>
    <t>PANEL ASSY TOP</t>
  </si>
  <si>
    <t>B476153-19</t>
  </si>
  <si>
    <t>PANEL TOP .25 THK</t>
  </si>
  <si>
    <t>B476153-617</t>
  </si>
  <si>
    <t>B476153-17</t>
  </si>
  <si>
    <t>B476151-1</t>
  </si>
  <si>
    <t>PULL-OUT SURFACE PANEL .125 THK</t>
  </si>
  <si>
    <t>CDM025-31</t>
  </si>
  <si>
    <t>B473152-501</t>
  </si>
  <si>
    <t>PANEL SPACER ASSY</t>
  </si>
  <si>
    <t>B473152-1</t>
  </si>
  <si>
    <t>PANEL SPACER</t>
  </si>
  <si>
    <t>B473152-3</t>
  </si>
  <si>
    <t>TL1170</t>
  </si>
  <si>
    <t>TOUCH LATCH  PUSHER</t>
  </si>
  <si>
    <t>TL1170_MOUNT PLATE</t>
  </si>
  <si>
    <t>MOUNT PLATE</t>
  </si>
  <si>
    <t>TL1150_TOUCH LATCH</t>
  </si>
  <si>
    <t>TOUCH LATCH</t>
  </si>
  <si>
    <t>CDSP5801-3AL</t>
  </si>
  <si>
    <t>WASHER, CSK 100 DEG., #10, AL 6061-T6, ANODIZE, GENERAL</t>
  </si>
  <si>
    <t>NAS514P1032-8P</t>
  </si>
  <si>
    <t>SCREW, FLAT HEAD, FULL THD, #10-32, ALLOY STEEL, 125 KSI, GENERAL</t>
  </si>
  <si>
    <t>NAS601-8P</t>
  </si>
  <si>
    <t>MS24694-S10</t>
  </si>
  <si>
    <t>B611071-511</t>
  </si>
  <si>
    <t>ANGLE ASSY, PULL-OUT WORK SURFACE</t>
  </si>
  <si>
    <t>B611071-9</t>
  </si>
  <si>
    <t>MS21075L08</t>
  </si>
  <si>
    <t>NUT PLATE, TWO LUG, FLOATING, SMALL, #8-32, ALLOY STEEL, 125 KSI, GENERAL</t>
  </si>
  <si>
    <t>MS20426AD3-4A</t>
  </si>
  <si>
    <t>B611071-513</t>
  </si>
  <si>
    <t>B611071-13</t>
  </si>
  <si>
    <t>B611071-512</t>
  </si>
  <si>
    <t>B611071-10</t>
  </si>
  <si>
    <t>B611017-3</t>
  </si>
  <si>
    <t>LEVER</t>
  </si>
  <si>
    <t>B471174-9</t>
  </si>
  <si>
    <t>TEFLON INSERT</t>
  </si>
  <si>
    <t>B611071-507</t>
  </si>
  <si>
    <t>B611071-7</t>
  </si>
  <si>
    <t>MS21069L06</t>
  </si>
  <si>
    <t>NUT PLATE, TWO LUG, SMALL, #6-32, ALLOY STEEL, 125 KSI, GENERAL</t>
  </si>
  <si>
    <t>B611071-509</t>
  </si>
  <si>
    <t>B611071-11</t>
  </si>
  <si>
    <t>B476151-503</t>
  </si>
  <si>
    <t>PULL-OUT WORK SURFACE ASSY (FWD/TOUCH-LATCH)</t>
  </si>
  <si>
    <t>B476153-507</t>
  </si>
  <si>
    <t>B476153-627</t>
  </si>
  <si>
    <t>B476153-27</t>
  </si>
  <si>
    <t>PANEL SIDE</t>
  </si>
  <si>
    <t>B476153-631</t>
  </si>
  <si>
    <t>B476153-31</t>
  </si>
  <si>
    <t>PANEL TOP</t>
  </si>
  <si>
    <t>B476153-629</t>
  </si>
  <si>
    <t>B476153-29</t>
  </si>
  <si>
    <t>PULL-OUT SURFACE FRONT PANEL</t>
  </si>
  <si>
    <t>B476153-625</t>
  </si>
  <si>
    <t>B476153-25</t>
  </si>
  <si>
    <t>B476151-3</t>
  </si>
  <si>
    <t>PULL-OUT SURFACE PANEL .175 THK</t>
  </si>
  <si>
    <t>B471229-501</t>
  </si>
  <si>
    <t>MOUNTING PLATE ASSY, WASH LIGHT CONNECTOR</t>
  </si>
  <si>
    <t>B471229-1</t>
  </si>
  <si>
    <t>B611095-3</t>
  </si>
  <si>
    <t>PLATE, BONDING</t>
  </si>
  <si>
    <t>B473546-CFG1</t>
  </si>
  <si>
    <t>PANEL ASSY, FACADE, LOWER GALLEY LH</t>
  </si>
  <si>
    <t>B473546-501</t>
  </si>
  <si>
    <t>PANEL ASSY, FACADE (PULL OUT WORK SURFACE, AFT)</t>
  </si>
  <si>
    <t>PANEL ASSY, FACADE</t>
  </si>
  <si>
    <t>B473546-1</t>
  </si>
  <si>
    <t>PANEL, DRAWER FRONT</t>
  </si>
  <si>
    <t>B473546-501-RFD2</t>
  </si>
  <si>
    <t>B473546-501-RFD1</t>
  </si>
  <si>
    <t>VENEER</t>
  </si>
  <si>
    <t>B473546-507</t>
  </si>
  <si>
    <t>PANEL ASSY, FACADE (PULL OUT WORK SURFACE, FWD)</t>
  </si>
  <si>
    <t>B473546-7</t>
  </si>
  <si>
    <t xml:space="preserve">PANEL, DRAWER FRONT </t>
  </si>
  <si>
    <t>B473546-507-RFD2</t>
  </si>
  <si>
    <t>B473546-507-RFD1</t>
  </si>
  <si>
    <t>B473546-503</t>
  </si>
  <si>
    <t>PANEL ASSY, FACADE (OVEN DOOR)</t>
  </si>
  <si>
    <t>B473546-3</t>
  </si>
  <si>
    <t>PANEL, DOOR FRONT (OVEN)</t>
  </si>
  <si>
    <t>PANEL, DOOR FRONT</t>
  </si>
  <si>
    <t>B611124-509</t>
  </si>
  <si>
    <t>LATCH INSTALLATION</t>
  </si>
  <si>
    <t>SAM282-1</t>
  </si>
  <si>
    <t>LATCH ASSY</t>
  </si>
  <si>
    <t>B611123-9</t>
  </si>
  <si>
    <t>BLOCK, LATCH</t>
  </si>
  <si>
    <t>B473546-503-RFD2</t>
  </si>
  <si>
    <t>B473546-503-RFD1</t>
  </si>
  <si>
    <t>B473546-509</t>
  </si>
  <si>
    <t>PANEL ASSY, FACADE (CHINA DRAWER)</t>
  </si>
  <si>
    <t>B473546-509-RFD1</t>
  </si>
  <si>
    <t>B473546-509-RFD2</t>
  </si>
  <si>
    <t>B473546-9</t>
  </si>
  <si>
    <t>PANEL, DRAWER FRONT (CHINA)</t>
  </si>
  <si>
    <t>B473546-537</t>
  </si>
  <si>
    <t>PANEL ASSY, FACADE (MISC. STORAGE)</t>
  </si>
  <si>
    <t>B473546-537-RFD1</t>
  </si>
  <si>
    <t>B473546-537-RFD2</t>
  </si>
  <si>
    <t>B473546-37</t>
  </si>
  <si>
    <t>PANEL, DRAWER FRONT (MISC. STORAGE)</t>
  </si>
  <si>
    <t>B473546-513</t>
  </si>
  <si>
    <t>B473546-513-RFD1</t>
  </si>
  <si>
    <t>B473546-513-RFD2</t>
  </si>
  <si>
    <t>B473546-13</t>
  </si>
  <si>
    <t>B473546-517</t>
  </si>
  <si>
    <t>B473546-517-RFD1</t>
  </si>
  <si>
    <t>B473546-517-RFD2</t>
  </si>
  <si>
    <t>B473546-17</t>
  </si>
  <si>
    <t>B473546-535</t>
  </si>
  <si>
    <t>PANEL ASSY, FACADE (LIFERAFT STORAGE)</t>
  </si>
  <si>
    <t>B473546-35</t>
  </si>
  <si>
    <t>PANEL, LIFERAFT STORAGE FRONT</t>
  </si>
  <si>
    <t>B473546-535-RFD2</t>
  </si>
  <si>
    <t>B473546-535-RFD1</t>
  </si>
  <si>
    <t>B473546-511</t>
  </si>
  <si>
    <t>B473546-511-RFD1</t>
  </si>
  <si>
    <t>B473546-511-RFD2</t>
  </si>
  <si>
    <t>B473546-11</t>
  </si>
  <si>
    <t>B482476-1</t>
  </si>
  <si>
    <t>B471025-503</t>
  </si>
  <si>
    <t xml:space="preserve">BULKHEAD ASSY, (FWD, REMOVABLE)_x000D_
</t>
  </si>
  <si>
    <t>BULKHEAD ASSY, (FWD, REMOVABLE)</t>
  </si>
  <si>
    <t>B492018-1</t>
  </si>
  <si>
    <t>CLIP, SPRING CABIN BULKHD</t>
  </si>
  <si>
    <t>CLIP</t>
  </si>
  <si>
    <t>B471025-5</t>
  </si>
  <si>
    <t>HARDWOOD RING</t>
  </si>
  <si>
    <t>B471025-503-RFD1</t>
  </si>
  <si>
    <t>MS35206-229</t>
  </si>
  <si>
    <t>B471025-603</t>
  </si>
  <si>
    <t xml:space="preserve">PANEL ASSY, BULKHEAD_x000D_
(FWD DECORATIVE)_x000D_
</t>
  </si>
  <si>
    <t>PANEL ASSY, BULKHEAD</t>
  </si>
  <si>
    <t>B471025-3</t>
  </si>
  <si>
    <t>PANEL .050THK</t>
  </si>
  <si>
    <t>B472010-501.1</t>
  </si>
  <si>
    <t>CURTAIN RETAINER ASSY</t>
  </si>
  <si>
    <t>MS21209C0615</t>
  </si>
  <si>
    <t>B472010-5</t>
  </si>
  <si>
    <t>PLATE_x000D_
MATL: AL ALY 2024-T3/T351/T4 PLATE .050 THK</t>
  </si>
  <si>
    <t>PLATE</t>
  </si>
  <si>
    <t>B472010-1</t>
  </si>
  <si>
    <t>B472010-3</t>
  </si>
  <si>
    <t>KEYHOLE PLATE_x000D_
MATL: AL ALY 2024-T3/T351/T4 PLATE .050 THK</t>
  </si>
  <si>
    <t>KEYHOLE PLATE</t>
  </si>
  <si>
    <t>B471025-501-2A</t>
  </si>
  <si>
    <t>DECOR, HARDWOOD</t>
  </si>
  <si>
    <t>NAS602-7P</t>
  </si>
  <si>
    <t>MS27039-0806</t>
  </si>
  <si>
    <t>SCREW, PAN HEAD, GRIP, #8-32, ALLOY STEEL, 125 KSI, GENERAL</t>
  </si>
  <si>
    <t>2LA 455 740-62</t>
  </si>
  <si>
    <t>WASH  LIGHT 40" (F7003320036)</t>
  </si>
  <si>
    <t>WARDROBE LIGHT</t>
  </si>
  <si>
    <t>8ES 455 618-00</t>
  </si>
  <si>
    <t>POWER SUPPLY, WASH LIGHT, HELLA</t>
  </si>
  <si>
    <t>POWER SUPPLY, WASH LIGHT</t>
  </si>
  <si>
    <t>2LA 455 740-56</t>
  </si>
  <si>
    <t>WASH LIGHT 26"</t>
  </si>
  <si>
    <t>2LA 455 615-00</t>
  </si>
  <si>
    <t>EMERGENCY LIGHT (GOODRICH HELLA)</t>
  </si>
  <si>
    <t>EMERGENCY LIGHT</t>
  </si>
  <si>
    <t>B611086-1</t>
  </si>
  <si>
    <t>NAME PLATE</t>
  </si>
  <si>
    <t>PD</t>
  </si>
  <si>
    <t>B611085-25</t>
  </si>
  <si>
    <t>BRACKET, CONNECTOR (FOR MIL-C-38999)</t>
  </si>
  <si>
    <t>AD32BS</t>
  </si>
  <si>
    <t>RIVET, EMHART, DOME HEAD, BLIND, 3/32, AL 5056-H34, GENERAL</t>
  </si>
  <si>
    <t>NAS603-11P</t>
  </si>
  <si>
    <t>MS24694-S61</t>
  </si>
  <si>
    <t>2LA 455 555-10</t>
  </si>
  <si>
    <t>ACCENT LIGHT FLEX 60"</t>
  </si>
  <si>
    <t>Drawing Number</t>
  </si>
  <si>
    <t>Old Path:</t>
  </si>
  <si>
    <t>New Path:</t>
  </si>
  <si>
    <t>Old Name</t>
  </si>
  <si>
    <t>New Name</t>
  </si>
  <si>
    <t>Latest</t>
  </si>
  <si>
    <t>RFD1</t>
  </si>
  <si>
    <t>RFD2</t>
  </si>
  <si>
    <t>RFD3</t>
  </si>
  <si>
    <t>Part</t>
  </si>
  <si>
    <t>Sub -500s</t>
  </si>
  <si>
    <t>Sub -600s</t>
  </si>
  <si>
    <t>New Instance Name</t>
  </si>
  <si>
    <t>New Description</t>
  </si>
  <si>
    <t>New Nomenclature</t>
  </si>
  <si>
    <t>Electrical components</t>
  </si>
  <si>
    <t>Panel</t>
  </si>
  <si>
    <t>Note</t>
  </si>
  <si>
    <t>Inlay</t>
  </si>
  <si>
    <t>Bracket</t>
  </si>
  <si>
    <t>Doubler</t>
  </si>
  <si>
    <t>Name Plate</t>
  </si>
  <si>
    <t>Insulation Blanket</t>
  </si>
  <si>
    <t>Finishing Process</t>
  </si>
  <si>
    <t xml:space="preserve">Paint Process </t>
  </si>
  <si>
    <t>Trim Molding</t>
  </si>
  <si>
    <t>Plating</t>
  </si>
  <si>
    <t>Used On</t>
  </si>
  <si>
    <t>Qty</t>
  </si>
  <si>
    <t>- 3A -</t>
  </si>
  <si>
    <t>Part No</t>
  </si>
  <si>
    <t>Parent</t>
  </si>
  <si>
    <t>B473540</t>
  </si>
  <si>
    <t>B482473</t>
  </si>
  <si>
    <t>SAM</t>
  </si>
  <si>
    <t>NAS514P832</t>
  </si>
  <si>
    <t>B473535</t>
  </si>
  <si>
    <t>B483535</t>
  </si>
  <si>
    <t>B473538</t>
  </si>
  <si>
    <t>Break all sharp edges.</t>
  </si>
  <si>
    <t>B471299-501</t>
  </si>
  <si>
    <t>Shim</t>
  </si>
  <si>
    <t>CDIN10-3</t>
  </si>
  <si>
    <t>Inserts</t>
  </si>
  <si>
    <t>Hwd</t>
  </si>
  <si>
    <t>Flag Note Callout</t>
  </si>
  <si>
    <t xml:space="preserve">CHEAT SHEET -- INSERT CALLOUTS </t>
  </si>
  <si>
    <t>CHEAT SHEET -- REPEAT HARDWARE CALLOUTS</t>
  </si>
  <si>
    <t>PART NUMBER</t>
  </si>
  <si>
    <t>DESCRIPTION</t>
  </si>
  <si>
    <t>INSTALLATION HOLE FLAGNOTE CALLOUT</t>
  </si>
  <si>
    <t>Supplier</t>
  </si>
  <si>
    <t>CDIN03-3-400</t>
  </si>
  <si>
    <t>INSERT, COMPOSITE, THRU, #10-32 X .40 LG</t>
  </si>
  <si>
    <t>INSTALLATION HOLE .561-.566 DIA THRU</t>
  </si>
  <si>
    <t>3M425-0.50</t>
  </si>
  <si>
    <t>.50" ALUMINUM REFLECTIVE TAPE</t>
  </si>
  <si>
    <t xml:space="preserve">         3M</t>
  </si>
  <si>
    <t>CDIN07-04-13B</t>
  </si>
  <si>
    <t>INSERT, BLIND THD, #4-40 X .403 LG</t>
  </si>
  <si>
    <t>INSTALLATION HOLE .452-.457 DIA X .42 DEEP</t>
  </si>
  <si>
    <t>3M425-0.75</t>
  </si>
  <si>
    <t>.75" ALUMINUM REFLECTIVE TAPE</t>
  </si>
  <si>
    <t>CDIN07-04-14B</t>
  </si>
  <si>
    <t>INSERT, BLIND THD, #4-40 X .438 LG</t>
  </si>
  <si>
    <t>INSTALLATION HOLE .452-.457 DIA X .45 DEEP</t>
  </si>
  <si>
    <t>3M425-1</t>
  </si>
  <si>
    <t>1" ALUMINUM REFLECTIVE TAPE</t>
  </si>
  <si>
    <t>CDIN07-04-20</t>
  </si>
  <si>
    <t>INSERT, BLIND THD, #4-40 X .62 LG</t>
  </si>
  <si>
    <t>INSTALLATION HOLE .452-.457 DIA X .65 DEEP</t>
  </si>
  <si>
    <t>3M425-2</t>
  </si>
  <si>
    <t>2" ALUMINUM REFLECTIVE TAPE</t>
  </si>
  <si>
    <t>CDIN07-06-06</t>
  </si>
  <si>
    <t>INSERT, BLIND THD, #6-32 X .186 LG</t>
  </si>
  <si>
    <t>INSTALLATION HOLE .452-.457 DIA X .22 DEEP</t>
  </si>
  <si>
    <t>3M434-1</t>
  </si>
  <si>
    <t>1" ALUMINUM REFLECTIVE TAPE WITH BACKING</t>
  </si>
  <si>
    <t>CDIN07-06-07</t>
  </si>
  <si>
    <t>INSERT, BLIND THD, #6-32 X .217 LG</t>
  </si>
  <si>
    <t>P11L-1</t>
  </si>
  <si>
    <t xml:space="preserve">   RJ AVIATION</t>
  </si>
  <si>
    <t>CDIN07-08-06</t>
  </si>
  <si>
    <t>INSERT, BLIND THD, #8-32 X .186 LG</t>
  </si>
  <si>
    <t>3M8672</t>
  </si>
  <si>
    <t>POLYURETHANE PROTECTIVE TAPE, 3.00" W X .008" THK</t>
  </si>
  <si>
    <t>INSERT, BLIND THD, #8-32 X .217 LG</t>
  </si>
  <si>
    <t>A400R0050H958-1</t>
  </si>
  <si>
    <t>VELCRO , HOOK, 2.00" WIDE (1.50" X 1.50")</t>
  </si>
  <si>
    <t xml:space="preserve">       APLIX</t>
  </si>
  <si>
    <t>CDIN07-08-07P</t>
  </si>
  <si>
    <t>A400R0050L958-1</t>
  </si>
  <si>
    <t>VELCRO , LOOP,  2.00" WIDE (1.50" X 1.50")</t>
  </si>
  <si>
    <t>CDIN07-08-11B</t>
  </si>
  <si>
    <t>INSERT, BLIND THD, #8-32 X .341 LG</t>
  </si>
  <si>
    <t>INSTALLATION HOLE .452-.457 DIA X .35 DEEP</t>
  </si>
  <si>
    <t>SJ3518FR-0.50-B</t>
  </si>
  <si>
    <t>VELCRO (LOOP) X 1.5" LG</t>
  </si>
  <si>
    <t>CDIN07-08-13B</t>
  </si>
  <si>
    <t>INSERT, BLIND THD, #8-32 X .403 LG</t>
  </si>
  <si>
    <t>SJ3519FR-0.50-B</t>
  </si>
  <si>
    <t>VELCRO (HOOK) X 1.5" LG</t>
  </si>
  <si>
    <t>CDIN07-08-21B</t>
  </si>
  <si>
    <t>INSERT, BLIND THD, #8-32 X .651 LG</t>
  </si>
  <si>
    <t>INSTALLATION HOLE .452-.457 DIA X .66 DEEP</t>
  </si>
  <si>
    <t>SJ3518FR-0.75-B</t>
  </si>
  <si>
    <t>CDIN07-3-06</t>
  </si>
  <si>
    <t>INSERT, BLIND THD, #10-32 X .186 LG</t>
  </si>
  <si>
    <t>SJ3519FR-0.75-B</t>
  </si>
  <si>
    <t>CDIN07-3-07</t>
  </si>
  <si>
    <t>INSERT, BLIND THD, #10-32 X .217 LG</t>
  </si>
  <si>
    <t>SJ3519FR-0.50-BGE</t>
  </si>
  <si>
    <t>VELCRO (HOOK) X 4.0" LG</t>
  </si>
  <si>
    <t>CDIN07-3-10B</t>
  </si>
  <si>
    <t>INSERT, BLIND THD, #10-32 X .313 LG</t>
  </si>
  <si>
    <t>INSTALLATION HOLE .452-.457 DIA X .34 DEEP</t>
  </si>
  <si>
    <t>SJ3518FR-0.50-BGE</t>
  </si>
  <si>
    <t>VELCRO (LOOP) X 4.0" LG</t>
  </si>
  <si>
    <t>CDIN07-3-11B</t>
  </si>
  <si>
    <t>INSERT, BLIND THD, #10-32 X .341 LG</t>
  </si>
  <si>
    <t>SJ3518FR-0.75-BGE</t>
  </si>
  <si>
    <t>CDIN07-3-14B</t>
  </si>
  <si>
    <t>INSERT, BLIND THD, #10-32 X .438 LG</t>
  </si>
  <si>
    <t>SJ3519FR-0.75-BGE</t>
  </si>
  <si>
    <t>CDIN07C3-07</t>
  </si>
  <si>
    <t>SJ3518FR-1-BGE</t>
  </si>
  <si>
    <t>CDIN07-4-14B</t>
  </si>
  <si>
    <t>INSERT, BLIND THD, 1/4-28 X .438 LG</t>
  </si>
  <si>
    <t>SJ3519FR-1-BGE</t>
  </si>
  <si>
    <t>CDIN09-08-250</t>
  </si>
  <si>
    <t>INSERT, THRU HOLE, THREADED, #8-32 X .250 LG</t>
  </si>
  <si>
    <t>SJ3518FR-1-B</t>
  </si>
  <si>
    <t>CDIN09-3-250</t>
  </si>
  <si>
    <t>INSERT, THRU HOLE, THREADED, #10-32 X .250 LG</t>
  </si>
  <si>
    <t>SJ3519FR-1-B</t>
  </si>
  <si>
    <t>CDIN10-08</t>
  </si>
  <si>
    <t>INSERT, BLIND THD, FLOATING, #8-32 X .240 LG</t>
  </si>
  <si>
    <t>INSTALLATION HOLE .561-.566 DIA X .28 DEEP</t>
  </si>
  <si>
    <t>SJ3518FR-1-W</t>
  </si>
  <si>
    <t>INSERT, BLIND THD, FLOATING, #10-32 X .240 LG</t>
  </si>
  <si>
    <t>SJ3519FR-1-W</t>
  </si>
  <si>
    <t>CDIN13-06</t>
  </si>
  <si>
    <t>INSERT, BLIND THD, SMALL, #6-32 X .220 LG</t>
  </si>
  <si>
    <t>INSTALLATION HOLE .311-.317 DIA X .23 DEEP</t>
  </si>
  <si>
    <t>SJ3518FR-2-BGE</t>
  </si>
  <si>
    <t>CDIN23-06A</t>
  </si>
  <si>
    <t>INSERT, BLIND THD, FLOATING, #6-32 X .20 LG</t>
  </si>
  <si>
    <t>INSTALLATION HOLE .561-.566 DIA X .21 DEEP</t>
  </si>
  <si>
    <t>SJ3519FR-2-BGE</t>
  </si>
  <si>
    <t>CDIN23-08A</t>
  </si>
  <si>
    <t>INSERT, BLIND THD, FLOATING, #8-32 X .20 LG</t>
  </si>
  <si>
    <t>SJ3527FR-1-B</t>
  </si>
  <si>
    <t>CDIN23-08S</t>
  </si>
  <si>
    <t>SJ3526FR-1-B</t>
  </si>
  <si>
    <t>CDIN23-3A</t>
  </si>
  <si>
    <t>INSERT, BLIND THD, FLOATING, #10-32 X .20 LG</t>
  </si>
  <si>
    <t>SJ3540FR-1-B</t>
  </si>
  <si>
    <t>INSERT, THRU HOLE, CLEARANCE, .140 DIA X .250 LG</t>
  </si>
  <si>
    <t>SJ3541FR-1-B</t>
  </si>
  <si>
    <t>VELCRO (DUAL LOCK) X X.XX" LG   TYPE 400</t>
  </si>
  <si>
    <t>CDSP5903-06-500</t>
  </si>
  <si>
    <t>INSERT, THRU HOLE, CLEARANCE, .169 DIA X .500LG</t>
  </si>
  <si>
    <t>SJ3542FR-1-B</t>
  </si>
  <si>
    <t>VELCRO (DUAL LOCK) X X.XX" LG,  TYPE 170</t>
  </si>
  <si>
    <t>INSERT, THRU HOLE, CLEARANCE, .169 DIA X .250 LG</t>
  </si>
  <si>
    <t>SJ3571FR-1HB</t>
  </si>
  <si>
    <t>VELCRO (LOOP) 1.0" W X LENGTH)</t>
  </si>
  <si>
    <t>CDSP5903-08-375</t>
  </si>
  <si>
    <t>INSERT, THRU HOLE, CLEARANCE, .169 DIA X .375 LG</t>
  </si>
  <si>
    <t>SJ3572FR-1HB</t>
  </si>
  <si>
    <t>VELCRO (HOOK) 1.0" W X LENGTH)</t>
  </si>
  <si>
    <t>INSERT, THRU HOLE, CLEARANCE, .169 DIA X .500 LG</t>
  </si>
  <si>
    <t>SBGE1.00L</t>
  </si>
  <si>
    <t>VELCRO (LOOP) X 12'' LG</t>
  </si>
  <si>
    <t xml:space="preserve">    SKANDIA</t>
  </si>
  <si>
    <t>CDSP5903-08-750</t>
  </si>
  <si>
    <t>INSERT, THRU HOLE, CLEARANCE, .169 DIA X .750 LG</t>
  </si>
  <si>
    <t>SBGE1.00H</t>
  </si>
  <si>
    <t>VELCRO (HOOK) X 12'' LG</t>
  </si>
  <si>
    <t>CDSP5903-08-625</t>
  </si>
  <si>
    <t>INSERT, THRU HOLE, CLEARANCE, .169 DIA X .625 LG</t>
  </si>
  <si>
    <t>194259</t>
  </si>
  <si>
    <t>VELCRO, 2" HOOK, 6.00" LG, BLACK</t>
  </si>
  <si>
    <t>CDSP5903-3-250</t>
  </si>
  <si>
    <t>INSERT, THRU HOLE, CLEARANCE, .196 DIA X .250 LG</t>
  </si>
  <si>
    <t>A840R0025H694SC</t>
  </si>
  <si>
    <t>VELCRO, HOOK</t>
  </si>
  <si>
    <t>CDSP5903-3-375</t>
  </si>
  <si>
    <t>INSERT, THRU HOLE, CLEARANCE, .196 DIA X .375 LG</t>
  </si>
  <si>
    <t>SJ3526FR-.500-BGE</t>
  </si>
  <si>
    <t>CDSP5903-3-400</t>
  </si>
  <si>
    <t>INSERT, THRU HOLE, CLEARANCE, .196 DIA X .400 LG</t>
  </si>
  <si>
    <t>SJ3527FR-.500-BGE</t>
  </si>
  <si>
    <t xml:space="preserve">VELCRO, LOOP  </t>
  </si>
  <si>
    <t>INSERT, THRU HOLE, CLEARANCE, .196 DIA X .500 LG</t>
  </si>
  <si>
    <t>76025A723</t>
  </si>
  <si>
    <t>TEFLON TAPE, SELF-ADHESIVE</t>
  </si>
  <si>
    <t>McMASTER-CARR</t>
  </si>
  <si>
    <t>INSERT, THRU HOLE, CLEARANCE, .196 DIA X .750 LG</t>
  </si>
  <si>
    <t>NAS6203-1</t>
  </si>
  <si>
    <t>BOLT, HEX HEAD, GRIP/SHORT THD, #10-32 X .385 LG</t>
  </si>
  <si>
    <t>CDSP5903-4-250</t>
  </si>
  <si>
    <t>INSERT, THRU HOLE, CLEARANCE, .257 DIA X . 250LG</t>
  </si>
  <si>
    <t>INSTALLATION HOLE .686-.691 DIA THRU</t>
  </si>
  <si>
    <t>NAS6203-2</t>
  </si>
  <si>
    <t>BOLT, HEX HEAD, GRIP/SHORT THD, #10-32 X .488 LG</t>
  </si>
  <si>
    <t>INSERT, THRU HOLE, CLEARANCE, .257 DIA X . 500LG</t>
  </si>
  <si>
    <t>NAS6203-3</t>
  </si>
  <si>
    <t>BOLT, HEX HEAD, GRIP/SHORT THD, #10-32 X .511 LG</t>
  </si>
  <si>
    <t>CDSP5904-06-250</t>
  </si>
  <si>
    <t>INSERT, THRU HOLE, CLEARANCE, CSK, .140 DIA X .250 LG</t>
  </si>
  <si>
    <t>NAS6203-4</t>
  </si>
  <si>
    <t>BOLT, HEX HEAD, GRIP/SHORT THD, #10-32 X .573 LG</t>
  </si>
  <si>
    <t>CDSP5904-06-375</t>
  </si>
  <si>
    <t>INSERT, THRU HOLE, CLEARANCE, CSK, .140 DIA X .375 LG</t>
  </si>
  <si>
    <t>NAS6203-5</t>
  </si>
  <si>
    <t>BOLT, HEX HEAD, GRIP/SHORT THD, #10-32 X .635 LG</t>
  </si>
  <si>
    <t>CDSP5904-06-500</t>
  </si>
  <si>
    <t>INSERT, THRU HOLE, CLEARANCE, CSK, .140 DIA X .500 LG</t>
  </si>
  <si>
    <t>NAS6203-6</t>
  </si>
  <si>
    <t>BOLT, HEX HEAD, GRIP/SHORT THD, #10-32 X .698 LG</t>
  </si>
  <si>
    <t>CDSP5904-06-750</t>
  </si>
  <si>
    <t>NAS6203-7</t>
  </si>
  <si>
    <t>BOLT, HEX HEAD, GRIP/SHORT THD, #10-32 X .761 LG</t>
  </si>
  <si>
    <t>INSERT, THRU HOLE, CLEARANCE, CSK, .169 DIA X .250 LG</t>
  </si>
  <si>
    <t>NAS6203-8</t>
  </si>
  <si>
    <t>BOLT, HEX HEAD, GRIP/SHORT THD, #10-32 X .823 LG</t>
  </si>
  <si>
    <t>CDSP5904-08-375</t>
  </si>
  <si>
    <t>INSERT, THRU HOLE, CLEARANCE, CSK, .169 DIA X .375 LG</t>
  </si>
  <si>
    <t>NAS6203-9</t>
  </si>
  <si>
    <t>BOLT, HEX HEAD, GRIP/SHORT THD, #10-32 X .885 LG</t>
  </si>
  <si>
    <t>CDSP5904-08-500</t>
  </si>
  <si>
    <t>INSERT, THRU HOLE, CLEARANCE, CSK, .169 DIA X .50 LG</t>
  </si>
  <si>
    <t>NAS6203-10</t>
  </si>
  <si>
    <t>BOLT, HEX HEAD, GRIP/SHORT THD, #10-32 X .948 LG</t>
  </si>
  <si>
    <t>INSERT, THRU HOLE, CLEARANCE, CSK, .169 DIA X .75 LG</t>
  </si>
  <si>
    <t>NAS6204-11</t>
  </si>
  <si>
    <t>BOLT, HEX HEAD, GRIP/SHORT THD,#1/4-28 X 1.011 LG</t>
  </si>
  <si>
    <t>INSERT, THRU HOLE, CLEARANCE, CSK, .196 DIA X .250 LG</t>
  </si>
  <si>
    <t>NAS6203-12</t>
  </si>
  <si>
    <t>BOLT, HEX HEAD, GRIP/SHORT THD, #10-32 X 1.073 LG</t>
  </si>
  <si>
    <t>CDSP5904-3-375</t>
  </si>
  <si>
    <t>INSERT, THRU HOLE, CLEARANCE, CSK, .196 DIA X .375 LG</t>
  </si>
  <si>
    <t>NAS6203-13</t>
  </si>
  <si>
    <t>BOLT, HEX HEAD, GRIP/SHORT THD, #10-32 X 1.135 LG</t>
  </si>
  <si>
    <t>INSERT, THRU HOLE, CLEARANCE, CSK, .196 DIA X .50 LG</t>
  </si>
  <si>
    <t>BOLT, HEX HEAD, GRIP/SHORT THD, #10-32 X 1.198 LG</t>
  </si>
  <si>
    <t>INSERT, THRU HOLE, CLEARANCE, CSK, .196 DIA X .75 LG</t>
  </si>
  <si>
    <t>NAS6203-15</t>
  </si>
  <si>
    <t>BOLT, HEX HEAD, GRIP/SHORT THD, #10-32 X 1.261 LG</t>
  </si>
  <si>
    <t>INSERT, THRU HOLE, CLEARANCE, CSK, .257 DIA X .50 LG</t>
  </si>
  <si>
    <t>BOLT, HEX HEAD, GRIP/SHORT THD, #10-32 X 1.323 LG</t>
  </si>
  <si>
    <t>CDSP5904-4-750</t>
  </si>
  <si>
    <t>INSERT, THRU HOLE, CLEARANCE, CSK, .257 DIA X .75 LG</t>
  </si>
  <si>
    <t>NAS6203-17</t>
  </si>
  <si>
    <t>BOLT, HEX HEAD, GRIP/SHORT THD, #10-32 X 1.385 LG</t>
  </si>
  <si>
    <t>NAS6203-18</t>
  </si>
  <si>
    <t>BOLT, HEX HEAD, GRIP/SHORT THD, #10-32 X 1.448 LG</t>
  </si>
  <si>
    <t>CDSP5905-06-07</t>
  </si>
  <si>
    <t>NAS6203-19</t>
  </si>
  <si>
    <t>BOLT, HEX HEAD, GRIP/SHORT THD, #10-32 X 1.511 LG</t>
  </si>
  <si>
    <t>CDSP5905-06-08</t>
  </si>
  <si>
    <t>INSERT, BLIND THD, #6-32 X .248 LG</t>
  </si>
  <si>
    <t>NAS6203-20</t>
  </si>
  <si>
    <t>BOLT, HEX HEAD, GRIP/SHORT THD, #10-32 X 1.573 LG</t>
  </si>
  <si>
    <t>CDSP5905-06-09</t>
  </si>
  <si>
    <t>INSERT, BLIND THD, #6-32 X .279 LG</t>
  </si>
  <si>
    <t>INSTALLATION HOLE .452-.457 DIA X .319 DEEP</t>
  </si>
  <si>
    <t>NAS6204-6</t>
  </si>
  <si>
    <t>BOLT, HEX HEAD, GRIP/SHORT THD,#1/4-28 X 0.745 LG</t>
  </si>
  <si>
    <t>CDSP5905-06-10</t>
  </si>
  <si>
    <t>INSERT, BLIND THD, #6-32 X .31 LG</t>
  </si>
  <si>
    <t>NAS6204-7</t>
  </si>
  <si>
    <t>BOLT, HEX HEAD, GRIP/SHORT THD,#1/4-28 X 0.808 LG</t>
  </si>
  <si>
    <t>CDSP5905-06-11</t>
  </si>
  <si>
    <t>INSERT, BLIND THD, #6-32 X .341 LG</t>
  </si>
  <si>
    <t>NAS6204-8</t>
  </si>
  <si>
    <t>BOLT, HEX HEAD, GRIP/SHORT THD,#1/4-28 X 0.870 LG</t>
  </si>
  <si>
    <t>CDSP5905-06-12</t>
  </si>
  <si>
    <t>INSERT, BLIND THD, #6-32 X .372 LG</t>
  </si>
  <si>
    <t>NAS6204-9</t>
  </si>
  <si>
    <t>BOLT, HEX HEAD, GRIP/SHORT THD,#1/4-28 X 0.932 LG</t>
  </si>
  <si>
    <t>INSERT, BLIND THD, #6-32 X .403 LG</t>
  </si>
  <si>
    <t>NAS6204-10</t>
  </si>
  <si>
    <t>BOLT, HEX HEAD, GRIP/SHORT THD,#1/4-28 X 0.995 LG</t>
  </si>
  <si>
    <t>CDSP5905-06-14</t>
  </si>
  <si>
    <t>INSERT, BLIND THD, #6-32 X .434 LG</t>
  </si>
  <si>
    <t>BOLT, HEX HEAD, GRIP/SHORT THD,#1/4-28 X 1.058 LG</t>
  </si>
  <si>
    <t>CDSP5905-06-16</t>
  </si>
  <si>
    <t>INSERT, BLIND THD, #6-32 X .496 LG</t>
  </si>
  <si>
    <t>INSTALLATION HOLE .452-.457 DIA X .52 DEEP</t>
  </si>
  <si>
    <t>NAS6204-12</t>
  </si>
  <si>
    <t>BOLT, HEX HEAD, GRIP/SHORT THD,#1/4-28 X 1.120 LG</t>
  </si>
  <si>
    <t>INSERT, BLIND THD, #6-32 X .625 LG</t>
  </si>
  <si>
    <t>NAS6204-13</t>
  </si>
  <si>
    <t>BOLT, HEX HEAD, GRIP/SHORT THD,#1/4-28 X 1.182 LG</t>
  </si>
  <si>
    <t>CDSP5905C06-20</t>
  </si>
  <si>
    <t>NAS6204-14</t>
  </si>
  <si>
    <t>BOLT, HEX HEAD, GRIP/SHORT THD,#1/4-28 X 1.245 LG</t>
  </si>
  <si>
    <t>NAS6204-15</t>
  </si>
  <si>
    <t>BOLT, HEX HEAD, GRIP/SHORT THD,#1/4-28 X 1.308 LG</t>
  </si>
  <si>
    <t>BOLT, HEX HEAD, GRIP/SHORT THD,#1/4-28 X 1.370 LG</t>
  </si>
  <si>
    <t>CDSP5905-08-08</t>
  </si>
  <si>
    <t>INSERT, BLIND THD, #8-32 X .248 LG</t>
  </si>
  <si>
    <t>INSTALLATION HOLE .452-.457 DIA X .25 DEEP</t>
  </si>
  <si>
    <t>NAS6204-17</t>
  </si>
  <si>
    <t>BOLT, HEX HEAD, GRIP/SHORT THD,#1/4-28 X 1.432 LG</t>
  </si>
  <si>
    <t>CDSP5905-08-09</t>
  </si>
  <si>
    <t>INSERT, BLIND THD, #8-32 X .279 LG</t>
  </si>
  <si>
    <t>NAS6204-18</t>
  </si>
  <si>
    <t>BOLT, HEX HEAD, GRIP/SHORT THD,#1/4-28 X 1.495 LG</t>
  </si>
  <si>
    <t>CDSP5905-08-11</t>
  </si>
  <si>
    <t>NAS6204-19</t>
  </si>
  <si>
    <t>BOLT, HEX HEAD, GRIP/SHORT THD,#1/4-28 X 1.558 LG</t>
  </si>
  <si>
    <t>CDSP5905-08-12</t>
  </si>
  <si>
    <t>INSERT, BLIND THD, #8-32 X .372 LG</t>
  </si>
  <si>
    <t>INSTALLATION HOLE .452-.457 DIA X .40 DEEP</t>
  </si>
  <si>
    <t>NAS6204-20</t>
  </si>
  <si>
    <t>BOLT, HEX HEAD, GRIP/SHORT THD,#1/4-28 X 1.620 LG</t>
  </si>
  <si>
    <t>NAS6204-21</t>
  </si>
  <si>
    <t>BOLT, HEX HEAD, GRIP/SHORT THD,#1/4-28 X 1.682 LG</t>
  </si>
  <si>
    <t>CDSP5905-08-14</t>
  </si>
  <si>
    <t>INSERT, BLIND THD, #8-32 X .434 LG</t>
  </si>
  <si>
    <t>NAS6205-10</t>
  </si>
  <si>
    <t>BOLT, HEX HEAD, GRIP/SHORT THD,#5/16-24 X 1.063 LG</t>
  </si>
  <si>
    <t>CDSP5905-08-15</t>
  </si>
  <si>
    <t>INSERT, BLIND THD, #8-32 X .465 LG</t>
  </si>
  <si>
    <t>INSTALLATION HOLE .452-.457 DIA X .47 DEEP</t>
  </si>
  <si>
    <t>NAS6206-10</t>
  </si>
  <si>
    <t>BOLT, HEX HEAD, GRIP/SHORT THD,#3/8-24 X 1.079 LG</t>
  </si>
  <si>
    <t>CDSP5905-08-16</t>
  </si>
  <si>
    <t>INSERT, BLIND THD, #8-32 X .496 LG</t>
  </si>
  <si>
    <t>NAS6603-5</t>
  </si>
  <si>
    <t>BOLT, HEX HEAD, GRIP/LONG THD, #10-32 X .657 LG</t>
  </si>
  <si>
    <t>INSERT, BLIND THD, #8-32 X .62 LG</t>
  </si>
  <si>
    <t>NAS6603-6</t>
  </si>
  <si>
    <t>BOLT, HEX HEAD, GRIP/LONG THD, #10-32 X .720 LG</t>
  </si>
  <si>
    <t>CDSP5905-08-28</t>
  </si>
  <si>
    <t>INSERT, BLIND THD, #8-32 X .868 LG</t>
  </si>
  <si>
    <t>INSTALLATION HOLE .452-.457 DIA X .95 DEEP</t>
  </si>
  <si>
    <t>NAS6603-7</t>
  </si>
  <si>
    <t>BOLT, HEX HEAD, GRIP/LONG THD, #10-32 X .783 LG</t>
  </si>
  <si>
    <t>CDSP5905-3-06</t>
  </si>
  <si>
    <t>NAS6603-8</t>
  </si>
  <si>
    <t>BOLT, HEX HEAD, GRIP/LONG THD, #10-32 X .845 LG</t>
  </si>
  <si>
    <t>CDSP5905-3-07</t>
  </si>
  <si>
    <t>NAS6603-9</t>
  </si>
  <si>
    <t>BOLT, HEX HEAD, GRIP/LONG THD, #10-32 X .907 LG</t>
  </si>
  <si>
    <t>CDSP5905-3-09</t>
  </si>
  <si>
    <t>INSERT, BLIND THD, #10-32 X .279 LG</t>
  </si>
  <si>
    <t>NAS6603-10</t>
  </si>
  <si>
    <t>BOLT, HEX HEAD, GRIP/LONG THD, #10-32 X .970 LG</t>
  </si>
  <si>
    <t>CDSP5905-3-11</t>
  </si>
  <si>
    <t>NAS6603-11</t>
  </si>
  <si>
    <t>BOLT, HEX HEAD, GRIP/LONG THD, #10-32 X 1.033 LG</t>
  </si>
  <si>
    <t>INSERT, BLIND THD, #10-32 X .403 LG</t>
  </si>
  <si>
    <t>NAS6603-12</t>
  </si>
  <si>
    <t>BOLT, HEX HEAD, GRIP/LONG THD, #10-32 X 1.095 LG</t>
  </si>
  <si>
    <t>CDSP5905-3-14</t>
  </si>
  <si>
    <t>INSERT, BLIND THD, #10-32 X .434 LG</t>
  </si>
  <si>
    <t>NAS6603-13</t>
  </si>
  <si>
    <t>BOLT, HEX HEAD, GRIP/LONG THD, #10-32 X 1.157 LG</t>
  </si>
  <si>
    <t>INSERT, BLIND THD, #10-32 X .62 LG</t>
  </si>
  <si>
    <t>NAS6603-14</t>
  </si>
  <si>
    <t>BOLT, HEX HEAD, GRIP/LONG THD, #10-32 X 1.220 LG</t>
  </si>
  <si>
    <t>CDSP5905-4-12</t>
  </si>
  <si>
    <t>INSERT, BLIND THD, 1/4-28 UNJF X .372 LG</t>
  </si>
  <si>
    <t>INSTALLATION HOLE .499-.504 DIA X .42 DEEP</t>
  </si>
  <si>
    <t>NAS6603-15</t>
  </si>
  <si>
    <t>BOLT, HEX HEAD, GRIP/LONG THD, #10-32 X 1.283 LG</t>
  </si>
  <si>
    <t>INSERT, BLIND THD, 1/4-28 UNJF X .403 LG</t>
  </si>
  <si>
    <t>NAS6603-16</t>
  </si>
  <si>
    <t>BOLT, HEX HEAD, GRIP/LONG THD, #10-32 X 1.345 LG</t>
  </si>
  <si>
    <t>CDSP5905-4-20</t>
  </si>
  <si>
    <t>INSERT, BLIND THD, 1/4-28 UNJF X .62 LG</t>
  </si>
  <si>
    <t>INSTALLATION HOLE .499-.504 DIA X .65 DEEP</t>
  </si>
  <si>
    <t>NAS6603-17</t>
  </si>
  <si>
    <t>BOLT, HEX HEAD, GRIP/LONG THD, #10-32 X 1.407 LG</t>
  </si>
  <si>
    <t>CDSP5905C06-13</t>
  </si>
  <si>
    <t>NAS6603-18</t>
  </si>
  <si>
    <t>BOLT, HEX HEAD, GRIP/LONG THD, #10-32 X 1.470 LG</t>
  </si>
  <si>
    <t xml:space="preserve">CDSP5905C08-28 </t>
  </si>
  <si>
    <t>INSTALLATION HOLE .452-.457 DIA X .875 DEEP</t>
  </si>
  <si>
    <t>NAS6603-19</t>
  </si>
  <si>
    <t>BOLT, HEX HEAD, GRIP/LONG THD, #10-32 X 1.533 LG</t>
  </si>
  <si>
    <t>CDSP5905C08-14</t>
  </si>
  <si>
    <t>INSTALLATION HOLE .452.-457 DIA X .45 DEEP</t>
  </si>
  <si>
    <t>NAS6603-20</t>
  </si>
  <si>
    <t>BOLT, HEX HEAD, GRIP/LONG THD, #10-32 X 1.595 LG</t>
  </si>
  <si>
    <t xml:space="preserve">CDSP5905C3-13 </t>
  </si>
  <si>
    <t>NAS6604-1</t>
  </si>
  <si>
    <t>BOLT, HEX HEAD, GRIP/LONG THD, #1/4-28 X 0.487 LG</t>
  </si>
  <si>
    <t xml:space="preserve">CDSP5905C3-28 </t>
  </si>
  <si>
    <t>INSERT, BLIND THD, #10-32 X .868 LG</t>
  </si>
  <si>
    <t>NAS6604-3</t>
  </si>
  <si>
    <t>BOLT, HEX HEAD, GRIP/LONG THD, #1/4-28 X 0.613 LG</t>
  </si>
  <si>
    <t>CDSP5906-06-500</t>
  </si>
  <si>
    <t>INSERT, THRU THD, #6-32 X .500 LG</t>
  </si>
  <si>
    <t>NAS6604-4</t>
  </si>
  <si>
    <t>BOLT, HEX HEAD, GRIP/LONG THD, #1/4-28 X 0.675 LG</t>
  </si>
  <si>
    <t>INSERT, THRU THD, #8-32 X .750 LG</t>
  </si>
  <si>
    <t>NAS6604-5</t>
  </si>
  <si>
    <t>BOLT, HEX HEAD, GRIP/LONG THD, #1/4-28 X 0.737 LG</t>
  </si>
  <si>
    <t>INSERT, THRU THD, #8-32 X .500 LG</t>
  </si>
  <si>
    <t>NAS6604-6</t>
  </si>
  <si>
    <t>BOLT, HEX HEAD, GRIP/LONG THD, #1/4-28 X 0.800 LG</t>
  </si>
  <si>
    <t>CDSP5906C3-500</t>
  </si>
  <si>
    <t>INSERT, THRU THD, #10-32 X .500 LG</t>
  </si>
  <si>
    <t>NAS6604-7</t>
  </si>
  <si>
    <t>BOLT, HEX HEAD, GRIP/LONG THD, #1/4-28 X 0.863 LG</t>
  </si>
  <si>
    <t>CDSP5906-3-750</t>
  </si>
  <si>
    <t>INSERT, THRU THD, #10-32 X .750 LG</t>
  </si>
  <si>
    <t>NAS6604-8</t>
  </si>
  <si>
    <t>BOLT, HEX HEAD, GRIP/LONG THD, #1/4-28 X 0.925 LG</t>
  </si>
  <si>
    <t>CDSP5906-4-500</t>
  </si>
  <si>
    <t>INSERT, THRU THD, 1/4-28UNJF X .500 LG</t>
  </si>
  <si>
    <t>NAS6604-9</t>
  </si>
  <si>
    <t>BOLT, HEX HEAD, GRIP/LONG THD, #1/4-28 X 0.987 LG</t>
  </si>
  <si>
    <t>CDSP5906-4-750</t>
  </si>
  <si>
    <t>INSERT, THRU THD, 1/4-28UNJF X .750 LG</t>
  </si>
  <si>
    <t>NAS6604-10</t>
  </si>
  <si>
    <t>BOLT, HEX HEAD, GRIP/LONG THD, #1/4-28 X 1.050 LG</t>
  </si>
  <si>
    <t>CDSP5907-04-3</t>
  </si>
  <si>
    <t>INSERT, BLIND THD, FLOATING, #4-40 X .375 LG</t>
  </si>
  <si>
    <t>INSTALLATION HOLE .562-.565 DIA X .42 DEEP</t>
  </si>
  <si>
    <t>NAS6604-11</t>
  </si>
  <si>
    <t>BOLT, HEX HEAD, GRIP/LONG THD, #1/4-28 X 1.113 LG</t>
  </si>
  <si>
    <t>CDSP5907-06-1</t>
  </si>
  <si>
    <t>INSERT, BLIND THD, FLOATING, #6-32 X .310 LG</t>
  </si>
  <si>
    <t>INSTALLATION HOLE .562-.565 DIA X .34 DEEP</t>
  </si>
  <si>
    <t>NAS6604-12</t>
  </si>
  <si>
    <t>BOLT, HEX HEAD, GRIP/LONG THD, #1/4-28 X 1.175 LG</t>
  </si>
  <si>
    <t>CDSP5907-06-3</t>
  </si>
  <si>
    <t>INSERT, BLIND THD, FLOATING, #6-32 X .375 LG</t>
  </si>
  <si>
    <t>NAS6604-13</t>
  </si>
  <si>
    <t>BOLT, HEX HEAD, GRIP/LONG THD, #1/4-28 X 1.237 LG</t>
  </si>
  <si>
    <t>CDSP5907-08-1</t>
  </si>
  <si>
    <t>INSERT, BLIND THD, FLOATING, #8-32 X .31 LG</t>
  </si>
  <si>
    <t>NAS6604-14</t>
  </si>
  <si>
    <t>BOLT, HEX HEAD, GRIP/LONG THD, #1/4-28 X 1.300 LG</t>
  </si>
  <si>
    <t>INSERT, BLIND THD, FLOATING, #8-32 X .375 LG</t>
  </si>
  <si>
    <t>BOLT, HEX HEAD, GRIP/LONG THD, #1/4-28 X 1.363 LG</t>
  </si>
  <si>
    <t>CDSP5907-08-4</t>
  </si>
  <si>
    <t>INSERT, BLIND THD, FLOATING, #8-32 X .455 LG</t>
  </si>
  <si>
    <t>INSTALLATION HOLE .562-.565 DIA X .48 DEEP</t>
  </si>
  <si>
    <t>BOLT, HEX HEAD, GRIP/LONG THD, #1/4-28 X 1.425 LG</t>
  </si>
  <si>
    <t>CDSP5907-08-6</t>
  </si>
  <si>
    <t>INSERT, BLIND THD, FLOATING, #8-32 X .690 LG</t>
  </si>
  <si>
    <t>INSTALLATION HOLE .562-.565 DIA X .705 DEEP</t>
  </si>
  <si>
    <t>NAS6604-17</t>
  </si>
  <si>
    <t>BOLT, HEX HEAD, GRIP/LONG THD, #1/4-28 X 1.487 LG</t>
  </si>
  <si>
    <t>CDSP5907-3-1</t>
  </si>
  <si>
    <t>INSERT, BLIND THD, FLOATING, #10-32 X .31 LG</t>
  </si>
  <si>
    <t>INSTALLATION HOLE .562-.565 DIA X .35 DEEP</t>
  </si>
  <si>
    <t>NAS6604-18</t>
  </si>
  <si>
    <t>BOLT, HEX HEAD, GRIP/LONG THD, #1/4-28 X 1.550 LG</t>
  </si>
  <si>
    <t>CDSP5907-3-4</t>
  </si>
  <si>
    <t>INSERT, BLIND THD, FLOATING, #10-32 X .455 LG</t>
  </si>
  <si>
    <t>NAS6604-19</t>
  </si>
  <si>
    <t>BOLT, HEX HEAD, GRIP/LONG THD, #1/4-28 X 1.613 LG</t>
  </si>
  <si>
    <t>INSERT, BLIND THD, FLOATING, #10-32 X .375 LG</t>
  </si>
  <si>
    <t>NAS6604-20</t>
  </si>
  <si>
    <t>BOLT, HEX HEAD, GRIP/LONG THD, #1/4-28 X 1.675 LG</t>
  </si>
  <si>
    <t>CDSP5907-3-5</t>
  </si>
  <si>
    <t>INSERT, BLIND THD, FLOATING, #10-32 X .565 LG</t>
  </si>
  <si>
    <t>INSTALLATION HOLE .562-.565 DIA X .600 DEEP</t>
  </si>
  <si>
    <t>NAS8602-1</t>
  </si>
  <si>
    <t>BOLT, 100 DEG RED, F/HD, SHORT THD, #8-32 X .385 LG</t>
  </si>
  <si>
    <t>CDSP5907-4-6</t>
  </si>
  <si>
    <t>INSERT, BLIND THD, FLOATING, 1/4-28UNJF X .690 LG</t>
  </si>
  <si>
    <t>INSTALLATION HOLE .687-.690 DIA X .705 DEEP</t>
  </si>
  <si>
    <t>NAS8602-3</t>
  </si>
  <si>
    <t>BOLT, 100 DEG RED, F/HD, SHORT THD, #8-32 X .511 LG</t>
  </si>
  <si>
    <t>INSERT, BLIND THD, FLOATING, #10-32 X .690 LG</t>
  </si>
  <si>
    <t>NAS8603-8</t>
  </si>
  <si>
    <t>BOLT, 100 DEG RED, F/HD, SHORT THD, #10-32 X .823 LG</t>
  </si>
  <si>
    <t>MS21209C0215</t>
  </si>
  <si>
    <t>INSERT, HELICAL COIL, COARSE THD, #2-56 X .129 LG</t>
  </si>
  <si>
    <t>INSTALL HELICOIL INSERTS I.A.W. MS33537 &amp; MIL-S-8879</t>
  </si>
  <si>
    <t>NAS7700-4</t>
  </si>
  <si>
    <t>BOLT, PAN HEAD, GRIP/SHORT THD, #4-40 X .488 LG</t>
  </si>
  <si>
    <t>MS21209C04-25</t>
  </si>
  <si>
    <t>INSERT, HELICAL COIL, COARSE THD, #.250-20 X .625 LG</t>
  </si>
  <si>
    <t>NAS7700-6</t>
  </si>
  <si>
    <t>BOLT, PAN HEAD, GRIP/SHORT THD, #4-40 X .613 LG</t>
  </si>
  <si>
    <t>MS21209C0410</t>
  </si>
  <si>
    <t>INSERT, HELICAL COIL, COARSE THD, #4-40 X .112 LG</t>
  </si>
  <si>
    <t>NAS7701-4</t>
  </si>
  <si>
    <t>BOLT, PAN HEAD, GRIP/SHORT THD, #6-40 X .526 LG</t>
  </si>
  <si>
    <t>MS21209C0420</t>
  </si>
  <si>
    <t>INSERT, HELICAL COIL, COARSE THD, #4-40 X .224 LG</t>
  </si>
  <si>
    <t>NAS7701-6</t>
  </si>
  <si>
    <t>BOLT, PAN HEAD, GRIP/SHORT THD, #6-40 X .651 LG</t>
  </si>
  <si>
    <t>MS21209C0430</t>
  </si>
  <si>
    <t>INSERT, HELICAL COIL, COARSE THD, #4-40 X .336 LG</t>
  </si>
  <si>
    <t>MS21059-04</t>
  </si>
  <si>
    <t>NUT PLATE, TWO LUG, FLOATING, #4-40</t>
  </si>
  <si>
    <t>INSERT, HELICAL COIL, COARSE THD, #6-32 X .138 LG</t>
  </si>
  <si>
    <t>MS21059L04</t>
  </si>
  <si>
    <t>INSERT, HELICAL COIL, COARSE THD, #6-32 X .207 LG</t>
  </si>
  <si>
    <t>MS21059-06</t>
  </si>
  <si>
    <t>NUT PLATE, TWO LUG, FLOATING, #6-32</t>
  </si>
  <si>
    <t>MS21209C0620</t>
  </si>
  <si>
    <t>INSERT, HELICAL COIL, COARSE THD, #6-32 X .276 LG</t>
  </si>
  <si>
    <t>MS21209C0625</t>
  </si>
  <si>
    <t>INSERT, HELICAL COIL, COARSE THD, #6-32 X .345 LG</t>
  </si>
  <si>
    <t>MS21059-08</t>
  </si>
  <si>
    <t>NUT PLATE, TWO LUG, FLOATING, #8-32</t>
  </si>
  <si>
    <t>INSERT, HELICAL COIL, COARSE THD, #6-32 X .414 LG</t>
  </si>
  <si>
    <t>INSERT, HELICAL COIL, COARSE THD, #8-32 X .165 LG</t>
  </si>
  <si>
    <t>MS21059-3</t>
  </si>
  <si>
    <t>NUT PLATE, TWO LUG, FLOATING, #10-32</t>
  </si>
  <si>
    <t>MS21209C0815</t>
  </si>
  <si>
    <t>INSERT, HELICAL COIL, COARSE THD, #8-32 X .246 LG</t>
  </si>
  <si>
    <t>MS21209C0820</t>
  </si>
  <si>
    <t>INSERT, HELICAL COIL, COARSE THD, #8-32 X .328 LG</t>
  </si>
  <si>
    <t>MS21059-4</t>
  </si>
  <si>
    <t>NUT PLATE, TWO LUG, FLOATING, 1/4-28</t>
  </si>
  <si>
    <t>MS21209C0830</t>
  </si>
  <si>
    <t>INSERT, HELICAL COIL, COARSE THD, #8-32 X .492 LG</t>
  </si>
  <si>
    <t>MS21059L4</t>
  </si>
  <si>
    <t>MS21209F0810</t>
  </si>
  <si>
    <t>INSERT, HELICAL COIL, FINE THD, #8-36 X .164 LG</t>
  </si>
  <si>
    <t>MS21069-04</t>
  </si>
  <si>
    <t>NUT PLATE, TWO LUG SMALL, # 4-40</t>
  </si>
  <si>
    <t>MS21209F0820</t>
  </si>
  <si>
    <t>INSERT, HELICAL COIL, FINE THD, #8-36 X .328 LG</t>
  </si>
  <si>
    <t>MS21069L04</t>
  </si>
  <si>
    <t>MS21209F1-30</t>
  </si>
  <si>
    <t>INSERT, HELICAL COIL, FINE THD, #10-32 X .570 LG</t>
  </si>
  <si>
    <t>MS21069-06</t>
  </si>
  <si>
    <t>NUT PLATE, TWO LUG, SMALL, # 6-32</t>
  </si>
  <si>
    <t>MS21209F1-20</t>
  </si>
  <si>
    <t>INSERT, HELICAL COIL, FINE THD, #10-32 X .380 LG</t>
  </si>
  <si>
    <t>NAS1394-08L</t>
  </si>
  <si>
    <t>INSERT, SELF-LOCKING, LIGHT WT, #8-32 X .250 LG</t>
  </si>
  <si>
    <t>INSTALL INSERTS I.A.W. MIL-I-45914 &amp; MIL-S-7742</t>
  </si>
  <si>
    <t>MS21069-08</t>
  </si>
  <si>
    <t>NUT PLATE, TWO LUG, SMALL, # 8-32</t>
  </si>
  <si>
    <t>NAS1394-3L</t>
  </si>
  <si>
    <t>INSERT, SELF-LOCKING, LIGHT WT, #10-32 X .312 LG</t>
  </si>
  <si>
    <t>MS21069L08</t>
  </si>
  <si>
    <t>NAS1395-06L</t>
  </si>
  <si>
    <t>INSERT, SELF-LOCKING, HEAVY DUTY, #6-32 X .250 LG</t>
  </si>
  <si>
    <t>MS21069-3</t>
  </si>
  <si>
    <t>NUT PLATE, TWO LUG, SMALL, # 10-32</t>
  </si>
  <si>
    <t>MS51830-103L</t>
  </si>
  <si>
    <t>INSERT, SELF-LOCKING, LIGHT WT, #6-32 X .170 LG</t>
  </si>
  <si>
    <t>INSTALL INSERTS I.A.W. MS51835</t>
  </si>
  <si>
    <t>MS21069L3</t>
  </si>
  <si>
    <t>MS51830A103L</t>
  </si>
  <si>
    <t>MS21069-4</t>
  </si>
  <si>
    <t>NUT PLATE, TWO LUG, SMALL, 1/4-28</t>
  </si>
  <si>
    <t>MS51830A104L</t>
  </si>
  <si>
    <t>INSERT, SELF-LOCKING, LIGHT WT, #8-32 X .220 LG</t>
  </si>
  <si>
    <t>MS21069L4</t>
  </si>
  <si>
    <t>MS51830-104L</t>
  </si>
  <si>
    <t>MS21071-04</t>
  </si>
  <si>
    <t>NUT PLATE, ONE LUG SMALL, # 4-40</t>
  </si>
  <si>
    <t>MS51830A201L</t>
  </si>
  <si>
    <t>MS21071-04K</t>
  </si>
  <si>
    <t>MS51830A202L</t>
  </si>
  <si>
    <t>INSERT, SELF-LOCKING, LIGHT WT, 1/4-28 X .375 LG</t>
  </si>
  <si>
    <t>MS21071L04</t>
  </si>
  <si>
    <t>1032J19-24</t>
  </si>
  <si>
    <t>TRISERT, SELF-TAPPING, SELF-LOCKING, #10-32 X .375 LG</t>
  </si>
  <si>
    <t>INSTALL PER MANUFACTURERS SPECIFICATION</t>
  </si>
  <si>
    <t>MS21071L04K</t>
  </si>
  <si>
    <t>632J14-18</t>
  </si>
  <si>
    <t>TRISERT, SELF-TAPPING, SELF-LOCKING, #6-32 X .281 LG</t>
  </si>
  <si>
    <t>MS21071-06</t>
  </si>
  <si>
    <t>NUT PLATE, ONE LUG, SMALL, # 6-32</t>
  </si>
  <si>
    <t>632JS14-14</t>
  </si>
  <si>
    <t>TRISERT, SELF-TAPPING, SELF-LOCKING, #6-32 X .218 LG</t>
  </si>
  <si>
    <t>MS21071-06K</t>
  </si>
  <si>
    <t>TYE2046-08-125</t>
  </si>
  <si>
    <t>INSERT, THRU THD, LIGHT WT, #8-32 X .125 LG</t>
  </si>
  <si>
    <t>INSTALLATION HOLE .342-.348 DIA THRU (YOUNG ENGINEERS)</t>
  </si>
  <si>
    <t>MS21071L06</t>
  </si>
  <si>
    <t>MS21071L06K</t>
  </si>
  <si>
    <t>MS21071-08</t>
  </si>
  <si>
    <t>NUT PLATE, ONE LUG, SMALL, # 8-32</t>
  </si>
  <si>
    <t>MS21071-08K</t>
  </si>
  <si>
    <t>MS21071L08</t>
  </si>
  <si>
    <t>MS21071L08K</t>
  </si>
  <si>
    <t>MS21071-3</t>
  </si>
  <si>
    <t>NUT PLATE, ONE LUG, SMALL, # 10-32</t>
  </si>
  <si>
    <t>MS21071-3K</t>
  </si>
  <si>
    <t>MS21071L3</t>
  </si>
  <si>
    <t>MS21071L3K</t>
  </si>
  <si>
    <t>MS21071-4</t>
  </si>
  <si>
    <t>NUT PLATE, ONE LUG, SMALL, 1/4-28</t>
  </si>
  <si>
    <t>MS21071-4K</t>
  </si>
  <si>
    <t>MS21071L4</t>
  </si>
  <si>
    <t>MS21071L4K</t>
  </si>
  <si>
    <t>MS21075-04</t>
  </si>
  <si>
    <t>NUT PLATE, TWO LUG ,FLOATING, # 4-40</t>
  </si>
  <si>
    <t>MS21075L04</t>
  </si>
  <si>
    <t>NUT PLATE, TWO LUG, FLOATING, # 4-40</t>
  </si>
  <si>
    <t>MS21075-04N</t>
  </si>
  <si>
    <t>MS21075-04E</t>
  </si>
  <si>
    <t>MS21075L04N</t>
  </si>
  <si>
    <t>MS21075L04E</t>
  </si>
  <si>
    <t>MS21075-06</t>
  </si>
  <si>
    <t>NUT PLATE, TWO LUG ,FLOATING, # 6-32</t>
  </si>
  <si>
    <t>MS21075L06</t>
  </si>
  <si>
    <t>NUT PLATE, TWO LUG, FLOATING, # 6-32</t>
  </si>
  <si>
    <t>MS21075-06N</t>
  </si>
  <si>
    <t>MS21075-06E</t>
  </si>
  <si>
    <t>MS21075L06N</t>
  </si>
  <si>
    <t>MS21075L06E</t>
  </si>
  <si>
    <t>MS21075-08</t>
  </si>
  <si>
    <t>NUT PLATE, TWO LUG ,FLOATING, # 8-32</t>
  </si>
  <si>
    <t>NUT PLATE, TWO LUG, FLOATING, # 8-32</t>
  </si>
  <si>
    <t>MS21075-08N</t>
  </si>
  <si>
    <t>MS21075-08E</t>
  </si>
  <si>
    <t>MS21075L08N</t>
  </si>
  <si>
    <t>MS21075L08E</t>
  </si>
  <si>
    <t>MS21075-3</t>
  </si>
  <si>
    <t>NUT PLATE, TWO LUG ,FLOATING, # 10-32</t>
  </si>
  <si>
    <t>MS21075L3</t>
  </si>
  <si>
    <t>NUT PLATE, TWO LUG, FLOATING, # 10-32</t>
  </si>
  <si>
    <t>MS21075-3N</t>
  </si>
  <si>
    <t>MS21075-3E</t>
  </si>
  <si>
    <t>MS21075L3N</t>
  </si>
  <si>
    <t>MS21075L3E</t>
  </si>
  <si>
    <t>MS21075-4</t>
  </si>
  <si>
    <t>NUT PLATE, TWO LUG ,FLOATING, 1/4-28</t>
  </si>
  <si>
    <t>MS21075L4</t>
  </si>
  <si>
    <t>MS21075-4N</t>
  </si>
  <si>
    <t>MS21075-4E</t>
  </si>
  <si>
    <t>MS21075L4N</t>
  </si>
  <si>
    <t>MS21921-6K</t>
  </si>
  <si>
    <t>NUT, SLEEVE COUPLING, FLARELESS, 3/8 TUBING, .5625-18 X UNJF-3B</t>
  </si>
  <si>
    <t>MS21075L4E</t>
  </si>
  <si>
    <t>MS21076L08</t>
  </si>
  <si>
    <t>22K1-82</t>
  </si>
  <si>
    <t>NUT, HEX, #8-32 X .346 LG</t>
  </si>
  <si>
    <t>ESNA</t>
  </si>
  <si>
    <t>DIN985M2</t>
  </si>
  <si>
    <t>NUT, HEX, M2 (metric)</t>
  </si>
  <si>
    <t>MG AVIATION INC</t>
  </si>
  <si>
    <t>FHS-440-5I</t>
  </si>
  <si>
    <t>STUD, SELF CLINCHING, #4-40 X .312</t>
  </si>
  <si>
    <t>PEM</t>
  </si>
  <si>
    <t>FH-832-6ZI</t>
  </si>
  <si>
    <t>STUD, SELF CLINCHING, #8-32 X .375</t>
  </si>
  <si>
    <t>MS21042-02</t>
  </si>
  <si>
    <t>NUT, HEX, SELF LOCKING, #2-56</t>
  </si>
  <si>
    <t>MS21042L04</t>
  </si>
  <si>
    <t>NUT, HEX, SELF LOCKING, #4-40</t>
  </si>
  <si>
    <t>MS21042L06</t>
  </si>
  <si>
    <t>NUT, HEX, SELF LOCKING, #6-32</t>
  </si>
  <si>
    <t>MS21042L08</t>
  </si>
  <si>
    <t>NUT, HEX, SELF LOCKING, #8-32</t>
  </si>
  <si>
    <t>MS21042L3</t>
  </si>
  <si>
    <t>NUT, HEX, SELF LOCKING, #10-32</t>
  </si>
  <si>
    <t>NUT, HEX, SELF LOCKING, 1/4-28</t>
  </si>
  <si>
    <t>MS21042L6</t>
  </si>
  <si>
    <t>NUT, HEX, SELF LOCKING, 3/8-24</t>
  </si>
  <si>
    <t>MS21043-04</t>
  </si>
  <si>
    <t>NUT, HEX, SELF-LOCKING, LOW HEIGHT, #4-40</t>
  </si>
  <si>
    <t>MS21043-08</t>
  </si>
  <si>
    <t>NUT, HEX, SELF-LOCKING, LOW HEIGHT, #8-32</t>
  </si>
  <si>
    <t>MS25082-5</t>
  </si>
  <si>
    <t>NUT, HEX, PLAIN, 5/16-24</t>
  </si>
  <si>
    <t>MS35650-382</t>
  </si>
  <si>
    <t>NUT, HEX, PLAIN (UNF-2B), #8-32</t>
  </si>
  <si>
    <t>MS35650-302</t>
  </si>
  <si>
    <t>NUT, HEX, PLAIN (UNF-2B), #10-32</t>
  </si>
  <si>
    <t>NAS671-2</t>
  </si>
  <si>
    <t>NUT, HEX, PLAIN, #2-56</t>
  </si>
  <si>
    <t>NAS671-3</t>
  </si>
  <si>
    <t>NUT, HEX, PLAIN, #3-48</t>
  </si>
  <si>
    <t>NAS671-4</t>
  </si>
  <si>
    <t>NUT, HEX, PLAIN, #4-40</t>
  </si>
  <si>
    <t>NAS671-6</t>
  </si>
  <si>
    <t>NUT, HEX, PLAIN, #6-32</t>
  </si>
  <si>
    <t>NAS671-8</t>
  </si>
  <si>
    <t>NUT, HEX, PLAIN, #8-32</t>
  </si>
  <si>
    <t>NAS671-10</t>
  </si>
  <si>
    <t>NUT, HEX, PLAIN, #10-32</t>
  </si>
  <si>
    <t>ATR-TI-40-4</t>
  </si>
  <si>
    <t>PIN, INSERT</t>
  </si>
  <si>
    <t xml:space="preserve">       AAR</t>
  </si>
  <si>
    <t>PIN, .1875 DIA X 1.50 LG</t>
  </si>
  <si>
    <t>ATR-200-3125</t>
  </si>
  <si>
    <t>PIN, .3125 DIA X 2.00 LG</t>
  </si>
  <si>
    <t>ATR-200-3125F</t>
  </si>
  <si>
    <t>ATR-250-4375F</t>
  </si>
  <si>
    <t>PIN, .4375 DIA X 2.50 LG</t>
  </si>
  <si>
    <t>ATR-300-5000</t>
  </si>
  <si>
    <t>PIN, .5000 DIA X 3.00 LG</t>
  </si>
  <si>
    <t>AD410ABS</t>
  </si>
  <si>
    <t>RIVET, .125 DIA X .765 LG</t>
  </si>
  <si>
    <t xml:space="preserve">    EMHART</t>
  </si>
  <si>
    <t>RIVET, DOME HEAD, BLIND, 3/32 DIA X .25 LG</t>
  </si>
  <si>
    <t>AD34BS</t>
  </si>
  <si>
    <t>RIVET, DOME HEAD, BLIND, 3/32 DIA X .365 LG</t>
  </si>
  <si>
    <t>CCR264SS-3-03</t>
  </si>
  <si>
    <t>RIVET,100 DEG FLUSH HEAD,3/32 DIA X .188 LG</t>
  </si>
  <si>
    <t>CHERRY/TEXTRON</t>
  </si>
  <si>
    <t>CR3213-5-05</t>
  </si>
  <si>
    <t>RIVET,CHERRYMAX,UNIVERSAL HEAD,.157 DIA x .65 LG</t>
  </si>
  <si>
    <t>MS20426AD2-3</t>
  </si>
  <si>
    <t>RIVET, FLAT HEAD, SOLID, 1/16 DIA X .188 LG</t>
  </si>
  <si>
    <t>MS20426AD2-4</t>
  </si>
  <si>
    <t>RIVET, FLAT HEAD, SOLID, 1/16 DIA X .250 LG</t>
  </si>
  <si>
    <t>MS20426AD2-5</t>
  </si>
  <si>
    <t>RIVET, FLAT HEAD, SOLID, 1/16 DIA X .313 LG</t>
  </si>
  <si>
    <t>MS20426AD2-6</t>
  </si>
  <si>
    <t>RIVET, FLAT HEAD, SOLID, 1/16 DIA X .375 LG</t>
  </si>
  <si>
    <t>MS20426AD2-7</t>
  </si>
  <si>
    <t>RIVET, FLAT HEAD, SOLID, 1/16 DIA X .438 LG</t>
  </si>
  <si>
    <t>MS20426AD2-8</t>
  </si>
  <si>
    <t>RIVET, FLAT HEAD, SOLID, 1/16 DIA X .500 LG</t>
  </si>
  <si>
    <t>MS20426AD2-9</t>
  </si>
  <si>
    <t>RIVET, FLAT HEAD, SOLID, 1/16 DIA X .563 LG</t>
  </si>
  <si>
    <t>MS20426AD2-10</t>
  </si>
  <si>
    <t>RIVET, FLAT HEAD, SOLID, 1/16 DIA X .625 LG</t>
  </si>
  <si>
    <t>MS20426AD2-11</t>
  </si>
  <si>
    <t>RIVET, FLAT HEAD, SOLID, 1/16 DIA X .688 LG</t>
  </si>
  <si>
    <t>MS20426AD2-12</t>
  </si>
  <si>
    <t>RIVET, FLAT HEAD, SOLID, 1/16 DIA X .750 LG</t>
  </si>
  <si>
    <t>MS20426AD2-13</t>
  </si>
  <si>
    <t>RIVET, FLAT HEAD, SOLID, 1/16 DIA X .813 LG</t>
  </si>
  <si>
    <t>MS20426AD2-14</t>
  </si>
  <si>
    <t>RIVET, FLAT HEAD, SOLID, 1/16 DIA X .875 LG</t>
  </si>
  <si>
    <t>MS20426AD2-15</t>
  </si>
  <si>
    <t>RIVET, FLAT HEAD, SOLID, 1/16 DIA X .938 LG</t>
  </si>
  <si>
    <t>MS20426AD2-16</t>
  </si>
  <si>
    <t>RIVET, FLAT HEAD, SOLID, 1/16 DIA X 1.000 LG</t>
  </si>
  <si>
    <t>MS20426AD3-3</t>
  </si>
  <si>
    <t>RIVET, FLAT HEAD, SOLID, 3/32 DIA X .188 LG</t>
  </si>
  <si>
    <t>MS20426AD3-3S-5</t>
  </si>
  <si>
    <t>RIVET, FLAT HEAD, SOLID, 3/32 DIA X .219 LG</t>
  </si>
  <si>
    <t>RIVET, FLAT HEAD, SOLID, 3/32 DIA X .250 LG</t>
  </si>
  <si>
    <t>MS20426AD3-4S</t>
  </si>
  <si>
    <t>MS20426AD3-4</t>
  </si>
  <si>
    <t>MS20426AD3-4-5</t>
  </si>
  <si>
    <t>RIVET, FLAT HEAD, SOLID, 3/32 DIA X .282 LG</t>
  </si>
  <si>
    <t>MS20426AD3-5</t>
  </si>
  <si>
    <t>RIVET, FLAT HEAD, SOLID, 3/32 DIA X .313 LG</t>
  </si>
  <si>
    <t>MS20426AD3-6</t>
  </si>
  <si>
    <t>RIVET, FLAT HEAD, SOLID, 3/32 DIA X .375 LG</t>
  </si>
  <si>
    <t>MS20426AD3-7</t>
  </si>
  <si>
    <t>RIVET, FLAT HEAD, SOLID, 3/32 DIA X .438 LG</t>
  </si>
  <si>
    <t>MS20426AD3-8</t>
  </si>
  <si>
    <t>RIVET, FLAT HEAD, SOLID, 3/32 DIA X .500 LG</t>
  </si>
  <si>
    <t>MS20426AD3-9</t>
  </si>
  <si>
    <t>RIVET, FLAT HEAD, SOLID, 3/32 DIA X .563 LG</t>
  </si>
  <si>
    <t>MS20426AD3-10</t>
  </si>
  <si>
    <t>RIVET, FLAT HEAD, SOLID, 3/32 DIA X .625 LG</t>
  </si>
  <si>
    <t>MS20426AD3-11</t>
  </si>
  <si>
    <t>RIVET, FLAT HEAD, SOLID, 3/32 DIA X .688 LG</t>
  </si>
  <si>
    <t>MS20426AD3-12</t>
  </si>
  <si>
    <t>RIVET, FLAT HEAD, SOLID, 3/32 DIA X .750 LG</t>
  </si>
  <si>
    <t>MS20426AD3-13</t>
  </si>
  <si>
    <t>RIVET, FLAT HEAD, SOLID, 3/32 DIA X .813 LG</t>
  </si>
  <si>
    <t>MS20426AD3-14</t>
  </si>
  <si>
    <t>RIVET, FLAT HEAD, SOLID, 3/32 DIA X .875 LG</t>
  </si>
  <si>
    <t>MS20426AD3-15</t>
  </si>
  <si>
    <t>RIVET, FLAT HEAD, SOLID, 3/32 DIA X .938 LG</t>
  </si>
  <si>
    <t>MS20426AD3-16</t>
  </si>
  <si>
    <t>RIVET, FLAT HEAD, SOLID, 3/32 DIA X 1.000 LG</t>
  </si>
  <si>
    <t>MS20426AD4-3</t>
  </si>
  <si>
    <t>RIVET, FLAT HEAD, SOLID, 1/8 DIA X .188 LG</t>
  </si>
  <si>
    <t>MS20426AD4-3A</t>
  </si>
  <si>
    <t>MS20426AD4-3-5</t>
  </si>
  <si>
    <t>RIVET, FLAT HEAD, SOLID, 1/8 DIA X .219 LG</t>
  </si>
  <si>
    <t>MS20426AD4-4</t>
  </si>
  <si>
    <t>RIVET, FLAT HEAD, SOLID, 1/8 DIA X .250 LG</t>
  </si>
  <si>
    <t>MS20426AD4-5A</t>
  </si>
  <si>
    <t>RIVET, FLAT HEAD, SOLID, 1/8 DIA X .313 LG</t>
  </si>
  <si>
    <t>MS20426AD4-5</t>
  </si>
  <si>
    <t>MS20426AD4-6A</t>
  </si>
  <si>
    <t>RIVET, FLAT HEAD, SOLID, 1/8 DIA X .375 LG</t>
  </si>
  <si>
    <t>MS20426AD4-6</t>
  </si>
  <si>
    <t>MS20426AD4-7A</t>
  </si>
  <si>
    <t>RIVET, FLAT HEAD, SOLID, 1/8 DIA X .438 LG</t>
  </si>
  <si>
    <t>MS20426AD4-7</t>
  </si>
  <si>
    <t>MS20426AD4-8</t>
  </si>
  <si>
    <t>RIVET, FLAT HEAD, SOLID, 1/8 DIA X .500 LG</t>
  </si>
  <si>
    <t>MS20426AD4-9</t>
  </si>
  <si>
    <t>RIVET, FLAT HEAD, SOLID, 1/8 DIA X .563 LG</t>
  </si>
  <si>
    <t>MS20426AD4-10A</t>
  </si>
  <si>
    <t>RIVET, FLAT HEAD, SOLID, 1/8 DIA X .625 LG</t>
  </si>
  <si>
    <t>MS20426AD4-10</t>
  </si>
  <si>
    <t>MS20426AD4-11</t>
  </si>
  <si>
    <t>RIVET, FLAT HEAD, SOLID, 1/8 DIA X .688 LG</t>
  </si>
  <si>
    <t>MS20426AD4-12A</t>
  </si>
  <si>
    <t>RIVET, FLAT HEAD, SOLID, 1/8 DIA X .750 LG</t>
  </si>
  <si>
    <t>MS20426AD4-12</t>
  </si>
  <si>
    <t>MS20426AD4-13</t>
  </si>
  <si>
    <t>RIVET, FLAT HEAD, SOLID, 1/8 DIA X .813 LG</t>
  </si>
  <si>
    <t>MS20426AD4-14</t>
  </si>
  <si>
    <t>RIVET, FLAT HEAD, SOLID, 1/8 DIA X .875 LG</t>
  </si>
  <si>
    <t>MS20426AD4-15</t>
  </si>
  <si>
    <t>RIVET, FLAT HEAD, SOLID, 1/8 DIA X .938 LG</t>
  </si>
  <si>
    <t>MS20426AD4-16</t>
  </si>
  <si>
    <t>RIVET, FLAT HEAD, SOLID, 1/8 DIA X 1.000 LG</t>
  </si>
  <si>
    <t>MS20426AD5-3</t>
  </si>
  <si>
    <t>RIVET, FLAT HEAD, SOLID, 5/32 DIA X .188 LG</t>
  </si>
  <si>
    <t>MS20426AD5-4</t>
  </si>
  <si>
    <t>RIVET, FLAT HEAD, SOLID, 5/32 DIA X .250 LG</t>
  </si>
  <si>
    <t>MS20426AD5-5</t>
  </si>
  <si>
    <t>RIVET, FLAT HEAD, SOLID, 5/32 DIA X .313 LG</t>
  </si>
  <si>
    <t>MS20426AD5-6</t>
  </si>
  <si>
    <t>RIVET, FLAT HEAD, SOLID, 5/32 DIA X .375 LG</t>
  </si>
  <si>
    <t>MS20426AD5-7</t>
  </si>
  <si>
    <t>RIVET, FLAT HEAD, SOLID, 5/32 DIA X .438 LG</t>
  </si>
  <si>
    <t>MS20426AD5-8</t>
  </si>
  <si>
    <t>RIVET, FLAT HEAD, SOLID, 5/32 DIA X .500 LG</t>
  </si>
  <si>
    <t>MS20426AD5-9</t>
  </si>
  <si>
    <t>RIVET, FLAT HEAD, SOLID, 5/32 DIA X .563 LG</t>
  </si>
  <si>
    <t>MS20426AD5-10</t>
  </si>
  <si>
    <t>RIVET, FLAT HEAD, SOLID, 5/32 DIA X .625 LG</t>
  </si>
  <si>
    <t>MS20426AD5-11</t>
  </si>
  <si>
    <t>RIVET, FLAT HEAD, SOLID, 5/32 DIA X .688 LG</t>
  </si>
  <si>
    <t>MS20426AD5-12</t>
  </si>
  <si>
    <t>RIVET, FLAT HEAD, SOLID, 5/32 DIA X .750 LG</t>
  </si>
  <si>
    <t>MS20426AD5-13</t>
  </si>
  <si>
    <t>RIVET, FLAT HEAD, SOLID, 5/32 DIA X .813 LG</t>
  </si>
  <si>
    <t>MS20426AD5-14</t>
  </si>
  <si>
    <t>RIVET, FLAT HEAD, SOLID, 5/32 DIA X .875 LG</t>
  </si>
  <si>
    <t>MS20426AD5-15</t>
  </si>
  <si>
    <t>RIVET, FLAT HEAD, SOLID, 5/32 DIA X .938 LG</t>
  </si>
  <si>
    <t>MS20426AD5-16</t>
  </si>
  <si>
    <t>RIVET, FLAT HEAD, SOLID, 5/32 DIA X 1.000 LG</t>
  </si>
  <si>
    <t>MS20426AD6-4</t>
  </si>
  <si>
    <t>RIVET, FLAT HEAD, SOLID, 3/16 DIA X .250 LG</t>
  </si>
  <si>
    <t>MS20426AD6-5</t>
  </si>
  <si>
    <t>RIVET, FLAT HEAD, SOLID, 3/16 DIA X .313 LG</t>
  </si>
  <si>
    <t>MS20426AD6-6</t>
  </si>
  <si>
    <t>RIVET, FLAT HEAD, SOLID, 3/16 DIA X .375 LG</t>
  </si>
  <si>
    <t>MS20426AD6-7</t>
  </si>
  <si>
    <t>RIVET, FLAT HEAD, SOLID, 3/16 DIA X .438 LG</t>
  </si>
  <si>
    <t>MS20426AD6-8</t>
  </si>
  <si>
    <t>RIVET, FLAT HEAD, SOLID, 3/16 DIA X .500 LG</t>
  </si>
  <si>
    <t>MS20426AD6-9</t>
  </si>
  <si>
    <t>RIVET, FLAT HEAD, SOLID, 3/16 DIA X .563 LG</t>
  </si>
  <si>
    <t>MS20426AD6-10</t>
  </si>
  <si>
    <t>RIVET, FLAT HEAD, SOLID, 3/16 DIA X .625 LG</t>
  </si>
  <si>
    <t>MS20426AD6-11</t>
  </si>
  <si>
    <t>RIVET, FLAT HEAD, SOLID, 3/16 DIA X .688 LG</t>
  </si>
  <si>
    <t>MS20426AD6-12</t>
  </si>
  <si>
    <t>RIVET, FLAT HEAD, SOLID, 3/16 DIA X .750 LG</t>
  </si>
  <si>
    <t>MS20426AD6-13</t>
  </si>
  <si>
    <t>RIVET, FLAT HEAD, SOLID, 3/16 DIA X .813 LG</t>
  </si>
  <si>
    <t>MS20426AD6-14</t>
  </si>
  <si>
    <t>RIVET, FLAT HEAD, SOLID, 3/16 DIA X .875 LG</t>
  </si>
  <si>
    <t>MS20426AD6-15</t>
  </si>
  <si>
    <t>RIVET, FLAT HEAD, SOLID, 3/16 DIA X .938 LG</t>
  </si>
  <si>
    <t>MS20426AD6-16</t>
  </si>
  <si>
    <t>RIVET, FLAT HEAD, SOLID, 3/16 DIA X 1.000 LG</t>
  </si>
  <si>
    <t>MS20427M4-4</t>
  </si>
  <si>
    <t>MS20470AD3-4</t>
  </si>
  <si>
    <t>RIVET, PAN HEAD, SOLID, 3/32 DIA X .250 LG</t>
  </si>
  <si>
    <t>MS20470AD3-4A</t>
  </si>
  <si>
    <t>MS20470AD3-5A</t>
  </si>
  <si>
    <t>RIVET, PAN HEAD, SOLID, 3/32 DIA X .313 LG</t>
  </si>
  <si>
    <t>RIVET, PAN HEAD, SOLID, 5/32 DIA X .250 LG</t>
  </si>
  <si>
    <t>MS20470AD5-5</t>
  </si>
  <si>
    <t>RIVET, PAN HEAD, SOLID, 5/32 DIA X .313 LG</t>
  </si>
  <si>
    <t>NASM20427F5-16</t>
  </si>
  <si>
    <t>RIVET, FLAT HEAD, SOLID, 5/32 DIA X 1.00 LG</t>
  </si>
  <si>
    <t>MS21318-14</t>
  </si>
  <si>
    <t>SCREW, DRIVE, ROUND HEAD, SOLID, .097 DIA X .188 LG</t>
  </si>
  <si>
    <t>NASM1097AD4-4A</t>
  </si>
  <si>
    <t>RIVET, FLUSH SHEAR HEAD, SOLID, 1/8 DIA X .250 LG</t>
  </si>
  <si>
    <t>92005A212</t>
  </si>
  <si>
    <t>SCREW M4 X 5MM LG</t>
  </si>
  <si>
    <t>MCMASTER-CARR</t>
  </si>
  <si>
    <t>MS51021-103</t>
  </si>
  <si>
    <t>SETSCREW, HEX HEAD, SELF-LOCKING, #4-40 X .250 LG</t>
  </si>
  <si>
    <t>MS51964-129</t>
  </si>
  <si>
    <t>SETSCREW, HEX HEAD, CUP POINT, #10-32 X .750 LG</t>
  </si>
  <si>
    <t>LOCTITE # 271</t>
  </si>
  <si>
    <t>MS51976-34</t>
  </si>
  <si>
    <t>SETSCREW, HEX HEAD, HALF-DOG POINT, #10-32 X .188 LG</t>
  </si>
  <si>
    <t>LOCTITE # 222</t>
  </si>
  <si>
    <t>MS51976-35</t>
  </si>
  <si>
    <t>SETSCREW, HEX HEAD, HALF-DOG POINT, #10-32 X .250 LG</t>
  </si>
  <si>
    <t>AN565FC6H5</t>
  </si>
  <si>
    <t>SETSCREW, HEX SOCKET HEAD, FULL THD, #6-32 X 313 LG</t>
  </si>
  <si>
    <t>NAS517-2-00</t>
  </si>
  <si>
    <t>SCREW, FLAT HEAD, GRIP, #8-32 X .343 LG</t>
  </si>
  <si>
    <t>NAS517-2-0</t>
  </si>
  <si>
    <t>SCREW, FLAT HEAD, GRIP, #8-32 X .406 LG</t>
  </si>
  <si>
    <t>NAS517-2-1</t>
  </si>
  <si>
    <t>SCREW, FLAT HEAD, GRIP, #8-32 X .469 LG</t>
  </si>
  <si>
    <t>NAS517-2-2</t>
  </si>
  <si>
    <t>SCREW, FLAT HEAD, GRIP, #8-32 X .531 LG</t>
  </si>
  <si>
    <t>NAS517-2-3</t>
  </si>
  <si>
    <t>SCREW, FLAT HEAD, GRIP, #8-32 X .594 LG</t>
  </si>
  <si>
    <t>NAS517-2-4</t>
  </si>
  <si>
    <t>SCREW, FLAT HEAD, GRIP, #8-32 X .656 LG</t>
  </si>
  <si>
    <t>NAS517-2-5</t>
  </si>
  <si>
    <t>SCREW, FLAT HEAD, GRIP, #8-32 X .719 LG</t>
  </si>
  <si>
    <t>NAS517-2-6</t>
  </si>
  <si>
    <t>SCREW, FLAT HEAD, GRIP, #8-32 X .781 LG</t>
  </si>
  <si>
    <t>NAS517-2-7</t>
  </si>
  <si>
    <t>SCREW, FLAT HEAD, GRIP, #8-32 X .844 LG</t>
  </si>
  <si>
    <t>NAS517-2-8</t>
  </si>
  <si>
    <t>SCREW, FLAT HEAD, GRIP, #8-32 X .906 LG</t>
  </si>
  <si>
    <t>NAS517-2-9</t>
  </si>
  <si>
    <t>SCREW, FLAT HEAD, GRIP, #8-32 X .969 LG</t>
  </si>
  <si>
    <t>SCREW, FLAT HEAD, GRIP, #8-32 X 1.031 LG</t>
  </si>
  <si>
    <t>NAS517-2-11</t>
  </si>
  <si>
    <t>SCREW, FLAT HEAD, GRIP, #8-32 X 1.093 LG</t>
  </si>
  <si>
    <t>NAS517-2-12</t>
  </si>
  <si>
    <t>SCREW, FLAT HEAD, GRIP, #8-32 X 1.156 LG</t>
  </si>
  <si>
    <t>NAS517-2-13</t>
  </si>
  <si>
    <t>SCREW, FLAT HEAD, GRIP, #8-32 X 1.219 LG</t>
  </si>
  <si>
    <t>SCREW, FLAT HEAD, GRIP, #8-32 X 1.281 LG</t>
  </si>
  <si>
    <t>NAS517-2-15</t>
  </si>
  <si>
    <t>SCREW, FLAT HEAD, GRIP, #8-32 X 1.343 LG</t>
  </si>
  <si>
    <t>NAS517-2-16</t>
  </si>
  <si>
    <t>SCREW, FLAT HEAD, GRIP, #8-32 X 1.406 LG</t>
  </si>
  <si>
    <t>NAS517-2-17</t>
  </si>
  <si>
    <t>SCREW, FLAT HEAD, GRIP, #8-32 X 1.468 LG</t>
  </si>
  <si>
    <t>NAS517-2-18</t>
  </si>
  <si>
    <t>SCREW, FLAT HEAD, GRIP, #8-32 X 1.531 LG</t>
  </si>
  <si>
    <t>NAS517-2-19</t>
  </si>
  <si>
    <t>SCREW, FLAT HEAD, GRIP, #8-32 X 1.594 LG</t>
  </si>
  <si>
    <t>NAS517-2-20</t>
  </si>
  <si>
    <t>SCREW, FLAT HEAD, GRIP, #8-32 X 1.656 LG</t>
  </si>
  <si>
    <t>NAS517-2-21</t>
  </si>
  <si>
    <t>SCREW, FLAT HEAD, GRIP, #8-32 X 1.719 LG</t>
  </si>
  <si>
    <t>NAS517-2-22</t>
  </si>
  <si>
    <t>SCREW, FLAT HEAD, GRIP, #8-32 X 1.781 LG</t>
  </si>
  <si>
    <t>NAS517-2-23</t>
  </si>
  <si>
    <t>SCREW, FLAT HEAD, GRIP, #8-32 X 1.844 LG</t>
  </si>
  <si>
    <t>NAS517-2-24</t>
  </si>
  <si>
    <t>SCREW, FLAT HEAD, GRIP, #8-32 X 1.906 LG</t>
  </si>
  <si>
    <t>NAS517-2-25</t>
  </si>
  <si>
    <t>SCREW, FLAT HEAD, GRIP, #8-32 X 1.969 LG</t>
  </si>
  <si>
    <t>NAS517-2-26</t>
  </si>
  <si>
    <t>SCREW, FLAT HEAD, GRIP, #8-32 X 2.031 LG</t>
  </si>
  <si>
    <t>NAS517-2-27</t>
  </si>
  <si>
    <t>SCREW, FLAT HEAD, GRIP, #8-32 X 2.093 LG</t>
  </si>
  <si>
    <t>NAS517-2-28</t>
  </si>
  <si>
    <t>SCREW, FLAT HEAD, GRIP, #8-32 X 2.156 LG</t>
  </si>
  <si>
    <t>NAS517-2-29</t>
  </si>
  <si>
    <t>SCREW, FLAT HEAD, GRIP, #8-32 X 2.219 LG</t>
  </si>
  <si>
    <t>NAS517-2-30</t>
  </si>
  <si>
    <t>SCREW, FLAT HEAD, GRIP, #8-32 X 2.281 LG</t>
  </si>
  <si>
    <t>NAS517-3-00</t>
  </si>
  <si>
    <t>SCREW, FLAT HEAD, GRIP, #10-32 X .343 LG</t>
  </si>
  <si>
    <t>NAS517-3-0</t>
  </si>
  <si>
    <t>SCREW, FLAT HEAD, GRIP, #10-32 X .406 LG</t>
  </si>
  <si>
    <t>NAS517-3-1</t>
  </si>
  <si>
    <t>SCREW, FLAT HEAD, GRIP, #10-32 X .469 LG</t>
  </si>
  <si>
    <t>NAS517-3-2</t>
  </si>
  <si>
    <t>SCREW, FLAT HEAD, GRIP, #10-32 X .531 LG</t>
  </si>
  <si>
    <t>NAS517-3-3</t>
  </si>
  <si>
    <t>SCREW, FLAT HEAD, GRIP, #10-32 X .594 LG</t>
  </si>
  <si>
    <t>NAS517-3-4</t>
  </si>
  <si>
    <t>SCREW, FLAT HEAD, GRIP, #10-32 X .656 LG</t>
  </si>
  <si>
    <t>NAS517-3-5</t>
  </si>
  <si>
    <t>SCREW, FLAT HEAD, GRIP, #10-32 X .719 LG</t>
  </si>
  <si>
    <t>NAS517-3-6</t>
  </si>
  <si>
    <t>SCREW, FLAT HEAD, GRIP, #10-32 X .781 LG</t>
  </si>
  <si>
    <t>NAS517-3-7</t>
  </si>
  <si>
    <t>SCREW, FLAT HEAD, GRIP, #10-32 X .844 LG</t>
  </si>
  <si>
    <t>NAS517-3-8</t>
  </si>
  <si>
    <t>SCREW, FLAT HEAD, GRIP, #10-32 X .906 LG</t>
  </si>
  <si>
    <t>NAS517-3-9</t>
  </si>
  <si>
    <t>SCREW, FLAT HEAD, GRIP, #10-32 X .969 LG</t>
  </si>
  <si>
    <t>NAS517-3-10</t>
  </si>
  <si>
    <t>SCREW, FLAT HEAD, GRIP, #10-32 X 1.031 LG</t>
  </si>
  <si>
    <t>NAS517-3-11</t>
  </si>
  <si>
    <t>SCREW, FLAT HEAD, GRIP, #10-32 X 1.093 LG</t>
  </si>
  <si>
    <t>NAS517-3-12</t>
  </si>
  <si>
    <t>SCREW, FLAT HEAD, GRIP, #10-32 X 1.156 LG</t>
  </si>
  <si>
    <t>NAS517-3-13</t>
  </si>
  <si>
    <t>SCREW, FLAT HEAD, GRIP, #10-32 X 1.219 LG</t>
  </si>
  <si>
    <t>NAS517-3-14</t>
  </si>
  <si>
    <t>SCREW, FLAT HEAD, GRIP, #10-32 X 1.281 LG</t>
  </si>
  <si>
    <t>NAS517-3-15</t>
  </si>
  <si>
    <t>SCREW, FLAT HEAD, GRIP, #10-32 X 1.343 LG</t>
  </si>
  <si>
    <t>NAS517-3-16</t>
  </si>
  <si>
    <t>SCREW, FLAT HEAD, GRIP, #10-32 X 1.406 LG</t>
  </si>
  <si>
    <t>NAS517-3-17</t>
  </si>
  <si>
    <t>SCREW, FLAT HEAD, GRIP, #10-32 X 1.468 LG</t>
  </si>
  <si>
    <t>NAS517-3-18</t>
  </si>
  <si>
    <t>SCREW, FLAT HEAD, GRIP, #10-32 X 1.531 LG</t>
  </si>
  <si>
    <t>NAS517-3-19</t>
  </si>
  <si>
    <t>SCREW, FLAT HEAD, GRIP, #10-32 X 1.594 LG</t>
  </si>
  <si>
    <t>NAS517-3-20</t>
  </si>
  <si>
    <t>SCREW, FLAT HEAD, GRIP, #10-32 X 1.656 LG</t>
  </si>
  <si>
    <t>NAS517-3-21</t>
  </si>
  <si>
    <t>SCREW, FLAT HEAD, GRIP, #10-32 X 1.719 LG</t>
  </si>
  <si>
    <t>NAS517-3-22</t>
  </si>
  <si>
    <t>SCREW, FLAT HEAD, GRIP, #10-32 X 1.781 LG</t>
  </si>
  <si>
    <t>NAS517-3-23</t>
  </si>
  <si>
    <t>SCREW, FLAT HEAD, GRIP, #10-32 X 1.844 LG</t>
  </si>
  <si>
    <t>NAS517-3-24</t>
  </si>
  <si>
    <t>SCREW, FLAT HEAD, GRIP, #10-32 X 1.906 LG</t>
  </si>
  <si>
    <t>NAS517-3-25</t>
  </si>
  <si>
    <t>SCREW, FLAT HEAD, GRIP, #10-32 X 1.969 LG</t>
  </si>
  <si>
    <t>NAS517-3-26</t>
  </si>
  <si>
    <t>SCREW, FLAT HEAD, GRIP, #10-32 X 2.031 LG</t>
  </si>
  <si>
    <t>NAS517-3-27</t>
  </si>
  <si>
    <t>SCREW, FLAT HEAD, GRIP, #10-32 X 2.093 LG</t>
  </si>
  <si>
    <t>NAS517-3-28</t>
  </si>
  <si>
    <t>SCREW, FLAT HEAD, GRIP, #10-32 X 2.156 LG</t>
  </si>
  <si>
    <t>NAS517-3-29</t>
  </si>
  <si>
    <t>SCREW, FLAT HEAD, GRIP, #10-32 X 2.219 LG</t>
  </si>
  <si>
    <t>NAS517-3-30</t>
  </si>
  <si>
    <t>SCREW, FLAT HEAD, GRIP, #10-32 X 2.281 LG</t>
  </si>
  <si>
    <t>NAS517-4-0</t>
  </si>
  <si>
    <t>SCREW, FLAT HEAD, GRIP, 1/4-28 X .469 LG</t>
  </si>
  <si>
    <t>NAS517-4-1</t>
  </si>
  <si>
    <t>SCREW, FLAT HEAD, GRIP, 1/4-28 X .531 LG</t>
  </si>
  <si>
    <t>NAS517-4-2</t>
  </si>
  <si>
    <t>SCREW, FLAT HEAD, GRIP, 1/4-28 X .594 LG</t>
  </si>
  <si>
    <t>NAS517-4-3</t>
  </si>
  <si>
    <t>SCREW, FLAT HEAD, GRIP, 1/4-28 X .656 LG</t>
  </si>
  <si>
    <t>NAS517-4-4</t>
  </si>
  <si>
    <t>SCREW, FLAT HEAD, GRIP, 1/4-28 X .719 LG</t>
  </si>
  <si>
    <t>NAS517-4-5</t>
  </si>
  <si>
    <t>SCREW, FLAT HEAD, GRIP, 1/4-28 X .781 LG</t>
  </si>
  <si>
    <t>NAS517-4-6</t>
  </si>
  <si>
    <t>SCREW, FLAT HEAD, GRIP, 1/4-28 X .844 LG</t>
  </si>
  <si>
    <t>NAS517-4-7</t>
  </si>
  <si>
    <t>SCREW, FLAT HEAD, GRIP, 1/4-28 X .906 LG</t>
  </si>
  <si>
    <t>NAS517-4-8</t>
  </si>
  <si>
    <t>SCREW, FLAT HEAD, GRIP, 1/4-28 X .969 LG</t>
  </si>
  <si>
    <t>NAS517-4-9</t>
  </si>
  <si>
    <t>SCREW, FLAT HEAD, GRIP, 1/4-28 X 1.031 LG</t>
  </si>
  <si>
    <t>NAS517-4-10</t>
  </si>
  <si>
    <t>SCREW, FLAT HEAD, GRIP, 1/4-28 X 1.093 LG</t>
  </si>
  <si>
    <t>NAS517-4-11</t>
  </si>
  <si>
    <t>SCREW, FLAT HEAD, GRIP, 1/4-28 X 1.156 LG</t>
  </si>
  <si>
    <t>NAS517-4-12</t>
  </si>
  <si>
    <t>SCREW, FLAT HEAD, GRIP, 1/4-28 X 1.219 LG</t>
  </si>
  <si>
    <t>NAS517-4-13</t>
  </si>
  <si>
    <t>SCREW, FLAT HEAD, GRIP, 1/4-28 X 1.281 LG</t>
  </si>
  <si>
    <t>NAS517-4-14</t>
  </si>
  <si>
    <t>SCREW, FLAT HEAD, GRIP, 1/4-28 X 1.343 LG</t>
  </si>
  <si>
    <t>NAS517-4-15</t>
  </si>
  <si>
    <t>SCREW, FLAT HEAD, GRIP, 1/4-28 X 1.406 LG</t>
  </si>
  <si>
    <t>NAS517-4-16</t>
  </si>
  <si>
    <t>SCREW, FLAT HEAD, GRIP, 1/4-28 X 1.468 LG</t>
  </si>
  <si>
    <t>NAS517-4-17</t>
  </si>
  <si>
    <t>SCREW, FLAT HEAD, GRIP, 1/4-28 X 1.531 LG</t>
  </si>
  <si>
    <t>NAS517-4-18</t>
  </si>
  <si>
    <t>SCREW, FLAT HEAD, GRIP, 1/4-28 X 1.594 LG</t>
  </si>
  <si>
    <t>SCREW, FLAT HEAD, GRIP, 1/4-28 X 1.656 LG</t>
  </si>
  <si>
    <t>NAS517-4-20</t>
  </si>
  <si>
    <t>SCREW, FLAT HEAD, GRIP, 1/4-28 X 1.719 LG</t>
  </si>
  <si>
    <t>NAS517-4-21</t>
  </si>
  <si>
    <t>SCREW, FLAT HEAD, GRIP, 1/4-28 X 1.781 LG</t>
  </si>
  <si>
    <t>NAS517-4-22</t>
  </si>
  <si>
    <t>SCREW, FLAT HEAD, GRIP, 1/4-28 X 1.844 LG</t>
  </si>
  <si>
    <t>NAS517-4-23</t>
  </si>
  <si>
    <t>SCREW, FLAT HEAD, GRIP, 1/4-28 X 1.906 LG</t>
  </si>
  <si>
    <t>NAS517-4-24</t>
  </si>
  <si>
    <t>SCREW, FLAT HEAD, GRIP, 1/4-28 X 1.969 LG</t>
  </si>
  <si>
    <t>NAS517-4-25</t>
  </si>
  <si>
    <t>SCREW, FLAT HEAD, GRIP, 1/4-28 X 2.031 LG</t>
  </si>
  <si>
    <t>NAS517-4-26</t>
  </si>
  <si>
    <t>SCREW, FLAT HEAD, GRIP, 1/4-28 X 2.093 LG</t>
  </si>
  <si>
    <t>NAS517-4-27</t>
  </si>
  <si>
    <t>SCREW, FLAT HEAD, GRIP, 1/4-28 X 2.156 LG</t>
  </si>
  <si>
    <t>NAS517-4-28</t>
  </si>
  <si>
    <t>SCREW, FLAT HEAD, GRIP, 1/4-28 X 2.219 LG</t>
  </si>
  <si>
    <t>NAS517-4-29</t>
  </si>
  <si>
    <t>SCREW, FLAT HEAD, GRIP, 1/4-28 X 2.281 LG</t>
  </si>
  <si>
    <t>NAS517-4-30</t>
  </si>
  <si>
    <t>SCREW, FLAT HEAD, GRIP, 1/4-28 X 2.343 LG</t>
  </si>
  <si>
    <t>NAS514P440-3P</t>
  </si>
  <si>
    <t>SCREW, FLAT HEAD, FULL THD, #4-40 X .188 LG</t>
  </si>
  <si>
    <t>NAS514P440-4P</t>
  </si>
  <si>
    <t>SCREW, FLAT HEAD, FULL THD, #4-40 X .250 LG</t>
  </si>
  <si>
    <t>NAS514P440-6P</t>
  </si>
  <si>
    <t>SCREW, FLAT HEAD, FULL THD, #4-40 X .375 LG</t>
  </si>
  <si>
    <t>NAS514P440-8P</t>
  </si>
  <si>
    <t>SCREW, FLAT HEAD, FULL THD, #4-40 X .500 LG</t>
  </si>
  <si>
    <t>NAS514P440-10P</t>
  </si>
  <si>
    <t>SCREW, FLAT HEAD, FULL THD, #4-40 X .625 LG</t>
  </si>
  <si>
    <t>NAS514P440-12P</t>
  </si>
  <si>
    <t>SCREW, FLAT HEAD, FULL THD, #4-40 X .750 LG</t>
  </si>
  <si>
    <t>NAS514P440-16P</t>
  </si>
  <si>
    <t>SCREW, FLAT HEAD, FULL THD, #4-40 X 1.000 LG</t>
  </si>
  <si>
    <t>NAS514P440-14P</t>
  </si>
  <si>
    <t>SCREW, FLAT HEAD, FULL THD, #4-40 X .875 LG</t>
  </si>
  <si>
    <t>NAS514P632-3P</t>
  </si>
  <si>
    <t>SCREW, FLAT HEAD, FULL THD, #6-32 X .188 LG</t>
  </si>
  <si>
    <t>SCREW, FLAT HEAD, FULL THD, #6-32 X .250 LG</t>
  </si>
  <si>
    <t>NAS514P632-5</t>
  </si>
  <si>
    <t>SCREW, FLAT HEAD, FULL THD, #6-32 X .31 LG</t>
  </si>
  <si>
    <t>NAS514P632-5P</t>
  </si>
  <si>
    <t>SCREW, FLAT HEAD, FULL THD, #6-32 X .313 LG</t>
  </si>
  <si>
    <t>SCREW, FLAT HEAD, FULL THD, #6-32 X .375 LG</t>
  </si>
  <si>
    <t>SCREW, FLAT HEAD, FULL THD, #6-32 X .438 LG</t>
  </si>
  <si>
    <t>SCREW, FLAT HEAD, FULL THD, #6-32 X .50 LG</t>
  </si>
  <si>
    <t>NAS514P632-9</t>
  </si>
  <si>
    <t>SCREW, FLAT HEAD, FULL THD, #6-32 X .563 LG</t>
  </si>
  <si>
    <t>SCREW, FLAT HEAD, FULL THD, #6-32 X .625 LG</t>
  </si>
  <si>
    <t>NAS514P632-12P</t>
  </si>
  <si>
    <t>SCREW, FLAT HEAD, FULL THD, #6-32 X .750 LG</t>
  </si>
  <si>
    <t>NAS514P632-14P</t>
  </si>
  <si>
    <t>SCREW, FLAT HEAD, FULL THD, #6-32 X .875 LG</t>
  </si>
  <si>
    <t>NAS514P632-16P</t>
  </si>
  <si>
    <t>SCREW, FLAT HEAD, FULL THD, #6-32 X 1.000 LG</t>
  </si>
  <si>
    <t>NAS514P632-18P</t>
  </si>
  <si>
    <t>SCREW, FLAT HEAD, FULL THD, #6-32 X 1.125 LG</t>
  </si>
  <si>
    <t>NAS514P632-20P</t>
  </si>
  <si>
    <t>SCREW, FLAT HEAD, FULL THD, #6-32 X 1.250 LG</t>
  </si>
  <si>
    <t>NAS514P632-24P</t>
  </si>
  <si>
    <t>SCREW, FLAT HEAD, FULL THD, #6-32 X 1.500 LG</t>
  </si>
  <si>
    <t>NAS514P632-28P</t>
  </si>
  <si>
    <t>SCREW, FLAT HEAD, FULL THD, #6-32 X 1.750 LG</t>
  </si>
  <si>
    <t>NAS514P632-32P</t>
  </si>
  <si>
    <t>SCREW, FLAT HEAD, FULL THD, #6-32 X 2.000 LG</t>
  </si>
  <si>
    <t>SCREW, FLAT HEAD, FULL THD, #8-32 X .188LG</t>
  </si>
  <si>
    <t>SCREW, FLAT HEAD, FULL THD, #8-32 X .250 LG</t>
  </si>
  <si>
    <t>SCREW, FLAT HEAD, FULL THD, #8-32 X .313 LG</t>
  </si>
  <si>
    <t>SCREW, FLAT HEAD, FULL THD, #8-32 X .375 LG</t>
  </si>
  <si>
    <t>NAS514P832-7P</t>
  </si>
  <si>
    <t>SCREW, FLAT HEAD, FULL THD, #8-32 X .438 LG</t>
  </si>
  <si>
    <t>NAS514P832-8P</t>
  </si>
  <si>
    <t>SCREW, FLAT HEAD, FULL THD, #8-32 X .500 LG</t>
  </si>
  <si>
    <t>NAS514P832-9P</t>
  </si>
  <si>
    <t>SCREW, FLAT HEAD, FULL THD, #8-32 X .563 LG</t>
  </si>
  <si>
    <t>SCREW, FLAT HEAD, FULL THD, #8-32 X .625 LG</t>
  </si>
  <si>
    <t>NAS514P832-11P</t>
  </si>
  <si>
    <t>SCREW, FLAT HEAD, FULL THD, #8-32 X .688 LG</t>
  </si>
  <si>
    <t>SCREW, FLAT HEAD, FULL THD, #8-32 X .750 LG</t>
  </si>
  <si>
    <t>NAS514P832-13P</t>
  </si>
  <si>
    <t>SCREW, FLAT HEAD, FULL THD, #8-32 X .813 LG</t>
  </si>
  <si>
    <t>NAS514P832-14</t>
  </si>
  <si>
    <t>SCREW, FLAT HEAD, FULL THD, #8-32 X .875 LG</t>
  </si>
  <si>
    <t>NAS514P832-15P</t>
  </si>
  <si>
    <t>SCREW, FLAT HEAD, FULL THD, #8-32 X .938 LG</t>
  </si>
  <si>
    <t>NAS514P832-16</t>
  </si>
  <si>
    <t>SCREW, FLAT HEAD, FULL THD, #8-32 X 1.00 LG</t>
  </si>
  <si>
    <t>NAS514P832-18P</t>
  </si>
  <si>
    <t>SCREW, FLAT HEAD, FULL THD, #8-32 X 1.125 LG</t>
  </si>
  <si>
    <t>NAS514P832-16P</t>
  </si>
  <si>
    <t>SCREW, FLAT HEAD, FULL THD, #8-32 X 1.250 LG</t>
  </si>
  <si>
    <t>NAS514P832-24P</t>
  </si>
  <si>
    <t>SCREW, FLAT HEAD, FULL THD, #8-32 X 1.500LG</t>
  </si>
  <si>
    <t>NAS514P832-28P</t>
  </si>
  <si>
    <t>SCREW, FLAT HEAD, FULL THD, #8-32 X 1.750 LG</t>
  </si>
  <si>
    <t>NAS514P832-32P</t>
  </si>
  <si>
    <t>SCREW, FLAT HEAD, FULL THD, #8-32 X 2.000 LG</t>
  </si>
  <si>
    <t>NAS514P832-38P</t>
  </si>
  <si>
    <t>SCREW, FLAT HEAD, FULL THD, #8-32 X 2.375 LG</t>
  </si>
  <si>
    <t>NAS514P1032-3P</t>
  </si>
  <si>
    <t>SCREW, FLAT HEAD, FULL THD, #10-32X .188 LG</t>
  </si>
  <si>
    <t>NAS514P1032-4P</t>
  </si>
  <si>
    <t>SCREW, FLAT HEAD, FULL THD, #10-32X .250 LG</t>
  </si>
  <si>
    <t>NAS514P1032-5P</t>
  </si>
  <si>
    <t>SCREW, FLAT HEAD, FULL THD, #10-32X .312 LG</t>
  </si>
  <si>
    <t>NAS514P1032-6P</t>
  </si>
  <si>
    <t>SCREW, FLAT HEAD, FULL THD, #10-32X .375 LG</t>
  </si>
  <si>
    <t>NAS514P1032-7</t>
  </si>
  <si>
    <t>SCREW, FLAT HEAD, FULL THD, #10-32 X .438 LG</t>
  </si>
  <si>
    <t>NAS514P1032-7B</t>
  </si>
  <si>
    <t>SCREW, FLAT HEAD, FULL THD, #10-32 X .500 LG</t>
  </si>
  <si>
    <t>NAS514P1032-9P</t>
  </si>
  <si>
    <t>SCREW, FLAT HEAD, FULL THD, #10-32 X .562 LG</t>
  </si>
  <si>
    <t xml:space="preserve">NAS514P1032-10 </t>
  </si>
  <si>
    <t>SCREW, FLAT HEAD, FULL THD, #10-32 X .625 LG</t>
  </si>
  <si>
    <t>NAS514P1032-10P</t>
  </si>
  <si>
    <t>NAS514P1032-11P</t>
  </si>
  <si>
    <t>SCREW, FLAT HEAD, FULL THD, #10-32 X .688 LG</t>
  </si>
  <si>
    <t>NAS514P1032-12P</t>
  </si>
  <si>
    <t>SCREW, FLAT HEAD, FULL THD, #10-32 X .750 LG</t>
  </si>
  <si>
    <t>NAS514P1032-14P</t>
  </si>
  <si>
    <t>SCREW, FLAT HEAD, FULL THD, #10-32 X .875 LG</t>
  </si>
  <si>
    <t>NAS514P1032-16</t>
  </si>
  <si>
    <t>SCREW, FLAT HEAD, FULL THD, #10-32 X 1.00 LG</t>
  </si>
  <si>
    <t>NAS514P1032-18</t>
  </si>
  <si>
    <t>SCREW, FLAT HEAD, FULL THD, #10-32 X 1.125 LG</t>
  </si>
  <si>
    <t>NAS514P1032-20P</t>
  </si>
  <si>
    <t>SCREW, FLAT HEAD, FULL THD, #10-32 X 1.250 LG</t>
  </si>
  <si>
    <t>NAS514P1032-26P</t>
  </si>
  <si>
    <t>SCREW, FLAT HEAD, FULL THD, #10-32 X 1.625 LG</t>
  </si>
  <si>
    <t>NAS514P1032-32P</t>
  </si>
  <si>
    <t>SCREW, FLAT HEAD, FULL THD, #10-32 X 2.00 LG</t>
  </si>
  <si>
    <t>NAS514P428-6P</t>
  </si>
  <si>
    <t>SCREW, FLAT HEAD, FULL THD, 1/4-28 X .375 LG</t>
  </si>
  <si>
    <t>MS24693-S2</t>
  </si>
  <si>
    <t>SCREW, FLAT HEAD, FULL THD, #4-40 X .25 LG</t>
  </si>
  <si>
    <t>MS24693-S3</t>
  </si>
  <si>
    <t>SCREW, FLAT HEAD, FULL THD, #4-40 X .31 LG</t>
  </si>
  <si>
    <t>MS24693-S4</t>
  </si>
  <si>
    <t>MS24693-S5</t>
  </si>
  <si>
    <t>SCREW, FLAT HEAD, FULL THD, #4-40 X .437 LG</t>
  </si>
  <si>
    <t>MS24693-S6</t>
  </si>
  <si>
    <t>MS24693-S7</t>
  </si>
  <si>
    <t>MS24693-S8</t>
  </si>
  <si>
    <t>SCREW, FLAT HEAD, FULL THD, #4-40 X .750LG</t>
  </si>
  <si>
    <t>MS24693-S9</t>
  </si>
  <si>
    <t>MS24693-S10</t>
  </si>
  <si>
    <t>MS24693-C51</t>
  </si>
  <si>
    <t>MS24693-C31</t>
  </si>
  <si>
    <t>MS24693-C24</t>
  </si>
  <si>
    <t>SCREW, FLAT HEAD, FULL THD, # 6-32 X .250 LG</t>
  </si>
  <si>
    <t>MS24693-S24</t>
  </si>
  <si>
    <t>MS24693-S26</t>
  </si>
  <si>
    <t>SCREW, FLAT HEAD, FULL THD, # 6-32 X .375 LG</t>
  </si>
  <si>
    <t>MS24693-S28</t>
  </si>
  <si>
    <t>SCREW, FLAT HEAD, FULL THD, # 6-32 X .500 LG</t>
  </si>
  <si>
    <t>MS24693-S29</t>
  </si>
  <si>
    <t>SCREW, FLAT HEAD, FULL THD, # 6-32 X .625 LG</t>
  </si>
  <si>
    <t>MS24693-S48</t>
  </si>
  <si>
    <t>SCREW, FLAT HEAD, FULL THD, # 8-32 X .375 LG</t>
  </si>
  <si>
    <t>MS24693-S49</t>
  </si>
  <si>
    <t>SCREW, FLAT HEAD, FULL THD, # 8-32 X .437 LG</t>
  </si>
  <si>
    <t>MS24693-S50</t>
  </si>
  <si>
    <t>SCREW, FLAT HEAD, FULL THD, # 8-32 X .500 LG</t>
  </si>
  <si>
    <t>MS24693-S51</t>
  </si>
  <si>
    <t>SCREW, FLAT HEAD, FULL THD, # 8-32 X .625 LG</t>
  </si>
  <si>
    <t>MS24693-S53</t>
  </si>
  <si>
    <t>SCREW, FLAT HEAD, FULL THD, # 8-32 X .875 LG</t>
  </si>
  <si>
    <t>MS24694-S3</t>
  </si>
  <si>
    <t>SCREW, FLAT HEAD, GRIP, #8-32 X .46 LG</t>
  </si>
  <si>
    <t>MS24694-C5</t>
  </si>
  <si>
    <t>MS24694-C6</t>
  </si>
  <si>
    <t>SCREW, FLAT HEAD, GRIP, #8-32 X .66 LG</t>
  </si>
  <si>
    <t>MS24694-S8</t>
  </si>
  <si>
    <t>MS24694-S12</t>
  </si>
  <si>
    <t>MS24694-S13</t>
  </si>
  <si>
    <t>MS24694-S14</t>
  </si>
  <si>
    <t>SCREW, FLAT HEAD, GRIP, #8-32 X 1.094 LG</t>
  </si>
  <si>
    <t>SCREW, FLAT HEAD, GRIP, #8-32 X 1.16 LG</t>
  </si>
  <si>
    <t>MS24694-S17</t>
  </si>
  <si>
    <t>SCREW, FLAT HEAD, GRIP, #8-32 X 1.28 LG</t>
  </si>
  <si>
    <t>SCREW, FLAT HEAD, GRIP, #8-32 X 1.53 LG</t>
  </si>
  <si>
    <t>MS24694-S24</t>
  </si>
  <si>
    <t>SCREW, FLAT HEAD, GRIP, #8-32 X 1.718 LG</t>
  </si>
  <si>
    <t>MS24694-S46</t>
  </si>
  <si>
    <t>SCREW, FLAT HEAD, GRIP, #10-32 X .281 LG</t>
  </si>
  <si>
    <t>MS24694-S47</t>
  </si>
  <si>
    <t>SCREW, FLAT HEAD, GRIP, #10-32 X .344 LG</t>
  </si>
  <si>
    <t>MS24694-S48</t>
  </si>
  <si>
    <t>MS24694-S50</t>
  </si>
  <si>
    <t>SCREW, FLAT HEAD, GRIP, #10-32 X .53 LG</t>
  </si>
  <si>
    <t>SCREW, FLAT HEAD, GRIP, #10-32 X .72 LG</t>
  </si>
  <si>
    <t>MS24694-S55</t>
  </si>
  <si>
    <t>SCREW, FLAT HEAD, GRIP, #10-32 X .84 LG</t>
  </si>
  <si>
    <t>SCREW, FLAT HEAD, GRIP, #10-32 X 1.22 LG</t>
  </si>
  <si>
    <t>MS24694-S62</t>
  </si>
  <si>
    <t>SCREW, FLAT HEAD, GRIP, #10-32 X 1.28 LG</t>
  </si>
  <si>
    <t>MS24694-S65</t>
  </si>
  <si>
    <t>SCREW, FLAT HEAD, GRIP, #10-32 X 1.468LG</t>
  </si>
  <si>
    <t>90241A463</t>
  </si>
  <si>
    <t>SCREW, FLH, NYLON, #8-32 X .375 LG</t>
  </si>
  <si>
    <t>MCMASTER CARR</t>
  </si>
  <si>
    <t>NAS600-3P</t>
  </si>
  <si>
    <t>SCREW, PAN HEAD, FULL THD, #4-40 X .190 LG</t>
  </si>
  <si>
    <t>NAS600-5P</t>
  </si>
  <si>
    <t>SCREW, PAN HEAD, FULL THD, #4-40 X .313 LG</t>
  </si>
  <si>
    <t>NAS600-8P</t>
  </si>
  <si>
    <t>SCREW, PAN HEAD, FULL THD, #4-40 X .500 LG</t>
  </si>
  <si>
    <t>NAS600-10P</t>
  </si>
  <si>
    <t>SCREW, PAN HEAD, FULL THD, #4-40 X .625 LG</t>
  </si>
  <si>
    <t>NAS600-12P</t>
  </si>
  <si>
    <t>SCREW, PAN HEAD, FULL THD, #4-40 X .750 LG</t>
  </si>
  <si>
    <t>NAS600-16P</t>
  </si>
  <si>
    <t>SCREW, PAN HEAD, FULL THD, #4-40 X 1.000 LG</t>
  </si>
  <si>
    <t>NAS600-18P</t>
  </si>
  <si>
    <t>SCREW, PAN HEAD, FULL THD, #4-40 X 1.125 LG</t>
  </si>
  <si>
    <t>NAS600-20P</t>
  </si>
  <si>
    <t>SCREW, PAN HEAD, FULL THD, #4-40 X 1.250 LG</t>
  </si>
  <si>
    <t>NAS601-3P</t>
  </si>
  <si>
    <t>SCREW, PAN HEAD, FULL THD, #6-32 X .187 LG</t>
  </si>
  <si>
    <t>NAS601-4P</t>
  </si>
  <si>
    <t>SCREW, PAN HEAD, FULL THD, #6-32 X .250 LG</t>
  </si>
  <si>
    <t>SCREW, PAN HEAD, FULL THD, #6-32 X .313 LG</t>
  </si>
  <si>
    <t>NAS601-6P</t>
  </si>
  <si>
    <t>SCREW, PAN HEAD, FULL THD, #6-32 X .375 LG</t>
  </si>
  <si>
    <t>NAS601-7P</t>
  </si>
  <si>
    <t>SCREW, PAN HEAD, FULL THD, #6-32 X .438 LG</t>
  </si>
  <si>
    <t>SCREW, PAN HEAD, FULL THD, #6-32 X .500 LG</t>
  </si>
  <si>
    <t>NAS601-9P</t>
  </si>
  <si>
    <t>SCREW, PAN HEAD, FULL THD, #6-32 X .562 LG</t>
  </si>
  <si>
    <t>NAS601-10P</t>
  </si>
  <si>
    <t>SCREW, PAN HEAD, FULL THD, #6-32 X .625 LG</t>
  </si>
  <si>
    <t>NAS601-12P</t>
  </si>
  <si>
    <t>SCREW, PAN HEAD, FULL THD, #6-32 X .750 LG</t>
  </si>
  <si>
    <t>NAS601-15P</t>
  </si>
  <si>
    <t>SCREW, PAN HEAD, FULL THD, #6-32 X .938 LG</t>
  </si>
  <si>
    <t>NAS601-16P</t>
  </si>
  <si>
    <t>SCREW, PAN HEAD, FULL THD, #6-32 X 1.00 LG</t>
  </si>
  <si>
    <t>NAS601-18P</t>
  </si>
  <si>
    <t>SCREW, PAN HEAD, FULL THD, #6-32 X 1.125 LG</t>
  </si>
  <si>
    <t>NAS601-20P</t>
  </si>
  <si>
    <t>SCREW, PAN HEAD, FULL THD, #6-32 X 1.250 LG</t>
  </si>
  <si>
    <t>NAS601-24P</t>
  </si>
  <si>
    <t>SCREW, PAN HEAD, FULL THD, #6-32 X 1.500 LG</t>
  </si>
  <si>
    <t>NAS601-30P</t>
  </si>
  <si>
    <t>SCREW, PAN HEAD, FULL THD, #6-32 X 1.875 LG</t>
  </si>
  <si>
    <t>NAS601-32P</t>
  </si>
  <si>
    <t>SCREW, PAN HEAD, FULL THD, #6-32 X 2.000 LG</t>
  </si>
  <si>
    <t>NAS601-34P</t>
  </si>
  <si>
    <t>SCREW, PAN HEAD, FULL THD, #6-32 X 2.125 LG</t>
  </si>
  <si>
    <t>NAS601-36P</t>
  </si>
  <si>
    <t>SCREW, PAN HEAD, FULL THD, #6-32 X 2.250 LG</t>
  </si>
  <si>
    <t>NAS602-3P</t>
  </si>
  <si>
    <t>SCREW, PAN HEAD, FULL THD, #8-32 X .187 LG</t>
  </si>
  <si>
    <t>SCREW, PAN HEAD, FULL THD, #8-32 X .250 LG</t>
  </si>
  <si>
    <t>SCREW, PAN HEAD, FULL THD, #8-32 X .313 LG</t>
  </si>
  <si>
    <t>SCREW, PAN HEAD, FULL THD, #8-32 X .375 LG</t>
  </si>
  <si>
    <t>SCREW, PAN HEAD, FULL THD, #8-32 X .438 LG</t>
  </si>
  <si>
    <t>NAS602-8P</t>
  </si>
  <si>
    <t>SCREW, PAN HEAD, FULL THD, #8-32 X .500 LG</t>
  </si>
  <si>
    <t>NAS602-9P</t>
  </si>
  <si>
    <t>SCREW, PAN HEAD, FULL THD, #8-32 X .562 LG</t>
  </si>
  <si>
    <t>NAS602-10P</t>
  </si>
  <si>
    <t>SCREW, PAN HEAD, FULL THD, #8-32 X .625 LG</t>
  </si>
  <si>
    <t>NAS602-11P</t>
  </si>
  <si>
    <t>SCREW, PAN HEAD, FULL THD, #8-32 X .687 LG</t>
  </si>
  <si>
    <t>NAS602-12P</t>
  </si>
  <si>
    <t>SCREW, PAN HEAD, FULL THD, #8-32 X .750 LG</t>
  </si>
  <si>
    <t>NAS602-14P</t>
  </si>
  <si>
    <t>SCREW, PAN HEAD, FULL THD, #8-32 X .875 LG</t>
  </si>
  <si>
    <t>NAS602-15P</t>
  </si>
  <si>
    <t>SCREW, PAN HEAD, FULL THD, #8-32 X .938 LG</t>
  </si>
  <si>
    <t>NAS602-16P</t>
  </si>
  <si>
    <t>SCREW, PAN HEAD, FULL THD, #8-32 X 1.000 LG</t>
  </si>
  <si>
    <t>NAS602-18P</t>
  </si>
  <si>
    <t>SCREW, PAN HEAD, FULL THD, #8-32 X 1.125 LG</t>
  </si>
  <si>
    <t>NAS602-20P</t>
  </si>
  <si>
    <t>SCREW, PAN HEAD, FULL THD, #8-32 X 1.250 LG</t>
  </si>
  <si>
    <t>NAS602-22P</t>
  </si>
  <si>
    <t>SCREW, PAN HEAD, FULL THD, #8-32 X 1.375 LG</t>
  </si>
  <si>
    <t>NAS602-24P</t>
  </si>
  <si>
    <t>SCREW, PAN HEAD, FULL THD, #8-32 X 1.500 LG</t>
  </si>
  <si>
    <t>NAS602-26P</t>
  </si>
  <si>
    <t>SCREW, PAN HEAD, FULL THD, #8-32 X 1.625 LG</t>
  </si>
  <si>
    <t>NAS602-28P</t>
  </si>
  <si>
    <t>SCREW, PAN HEAD, FULL THD, #8-32 X 1.750 LG</t>
  </si>
  <si>
    <t>NAS602-32P</t>
  </si>
  <si>
    <t>SCREW, PAN HEAD, FULL THD, #8-32 X 2.000 LG</t>
  </si>
  <si>
    <t>NAS603-3P</t>
  </si>
  <si>
    <t>SCREW, PAN HEAD, FULL THD, #10-32 X .187 LG</t>
  </si>
  <si>
    <t>NAS603-4B</t>
  </si>
  <si>
    <t>SCREW, PAN HEAD, FULL THD, #10-32 X .250 LG</t>
  </si>
  <si>
    <t>NAS603-5P</t>
  </si>
  <si>
    <t>SCREW, PAN HEAD, FULL THD, #10-32 X .313 LG</t>
  </si>
  <si>
    <t>SCREW, PAN HEAD, FULL THD, #10-32 X .375 LG</t>
  </si>
  <si>
    <t>NAS603-7P</t>
  </si>
  <si>
    <t>SCREW, PAN HEAD, FULL THD, #10-32 X .438 LG</t>
  </si>
  <si>
    <t>SCREW, PAN HEAD, FULL THD, #10-32 X .500 LG</t>
  </si>
  <si>
    <t>NAS603-9P</t>
  </si>
  <si>
    <t>SCREW, PAN HEAD, FULL THD, #10-32 X .562 LG</t>
  </si>
  <si>
    <t>SCREW, PAN HEAD, FULL THD, #10-32 X .625 LG</t>
  </si>
  <si>
    <t>SCREW, PAN HEAD, FULL THD, #10-32 X .687 LG</t>
  </si>
  <si>
    <t>NAS603-12P</t>
  </si>
  <si>
    <t>SCREW, PAN HEAD, FULL THD, #10-32 X .750 LG</t>
  </si>
  <si>
    <t>NAS603-13P</t>
  </si>
  <si>
    <t>SCREW, PAN HEAD, FULL THD, #10-32 X .812 LG</t>
  </si>
  <si>
    <t>NAS603-14P</t>
  </si>
  <si>
    <t>SCREW, PAN HEAD, FULL THD, #10-32 X .875 LG</t>
  </si>
  <si>
    <t>NAS603-15P</t>
  </si>
  <si>
    <t>SCREW, PAN HEAD, FULL THD, #10-32 X .938 LG</t>
  </si>
  <si>
    <t>NAS603-16P</t>
  </si>
  <si>
    <t>SCREW, PAN HEAD, FULL THD, #10-32 X 1.000 LG</t>
  </si>
  <si>
    <t>NAS603-18</t>
  </si>
  <si>
    <t>SCREW, PAN HEAD, FULL THD, #10-32 X 1.125 LG</t>
  </si>
  <si>
    <t>NAS603-20P</t>
  </si>
  <si>
    <t>SCREW, PAN HEAD, FULL THD, #10-32 X 1.250 LG</t>
  </si>
  <si>
    <t>NAS603-24P</t>
  </si>
  <si>
    <t>SCREW, PAN HEAD, FULL THD, #10-32 X 1.500 LG</t>
  </si>
  <si>
    <t>MS27039-0804</t>
  </si>
  <si>
    <t>SCREW, PAN HEAD, GRIP, #8-32 X .281 LG</t>
  </si>
  <si>
    <t>MS27039-0805</t>
  </si>
  <si>
    <t>SCREW, PAN HEAD, GRIP, #8-32 X .344 LG</t>
  </si>
  <si>
    <t>SCREW, PAN HEAD, GRIP, #8-32 X .406 LG</t>
  </si>
  <si>
    <t>MS27039-0807</t>
  </si>
  <si>
    <t>SCREW, PAN HEAD, GRIP, #8-32 X .469 LG</t>
  </si>
  <si>
    <t>MS27039-0808</t>
  </si>
  <si>
    <t>SCREW, PAN HEAD, GRIP, #8-32 X .531 LG</t>
  </si>
  <si>
    <t>MS27039-1-07</t>
  </si>
  <si>
    <t>SCREW, PAN HEAD, GRIP, #10-32 X .469 LG</t>
  </si>
  <si>
    <t>MS27039-1-08</t>
  </si>
  <si>
    <t>SCREW, PAN HEAD, GRIP, #10-32 X .531 LG</t>
  </si>
  <si>
    <t>MS27039-1-16</t>
  </si>
  <si>
    <t>SCREW, PAN HEAD, GRIP, #10-32 X 1.031 LG</t>
  </si>
  <si>
    <t>MS27039-1-18</t>
  </si>
  <si>
    <t>SCREW, PAN HEAD, GRIP, #10-32 X 1.156 LG</t>
  </si>
  <si>
    <t>MS27039-1-19</t>
  </si>
  <si>
    <t>SCREW, PAN HEAD, GRIP, #10-32 X 1.219 LG</t>
  </si>
  <si>
    <t>MS27039-1-20</t>
  </si>
  <si>
    <t>SCREW, PAN HEAD, GRIP, #10-32 X 1.281 LG</t>
  </si>
  <si>
    <t>MS27039-1-21</t>
  </si>
  <si>
    <t>SCREW, PAN HEAD, GRIP, #10-32 X 1.344 LG</t>
  </si>
  <si>
    <t>MS27039-1-28</t>
  </si>
  <si>
    <t>SCREW, PAN HEAD, GRIP, #10-32 X 1.781 LG</t>
  </si>
  <si>
    <t>SCREW, PAN HEAD, GRIP, #1/4-28 X .469 LG</t>
  </si>
  <si>
    <t>MS27039C1-07</t>
  </si>
  <si>
    <t>MS27039C1-10</t>
  </si>
  <si>
    <t>SCREW, PAN HEAD, GRIP, #10-32 X .656 LG</t>
  </si>
  <si>
    <t>MS27039C1-23</t>
  </si>
  <si>
    <t>SCREW, PAN HEAD, GRIP, #10-32 X 1.469 LG</t>
  </si>
  <si>
    <t>MS27039C1-30</t>
  </si>
  <si>
    <t>SCREW, PAN HEAD, GRIP, #10-32 X 1.906 LG</t>
  </si>
  <si>
    <t>MS27039-1-39</t>
  </si>
  <si>
    <t>SCREW, PAN HEAD, GRIP, #10-32 X 2.470 LG</t>
  </si>
  <si>
    <t>MS35206-204</t>
  </si>
  <si>
    <t>SCREW, PAN HEAD, FULL THD, #2-56 X .312 LG</t>
  </si>
  <si>
    <t>MS35206-205</t>
  </si>
  <si>
    <t>SCREW, PAN HEAD, FULL THD, #2-56 X .375 LG</t>
  </si>
  <si>
    <t>MS35206-206</t>
  </si>
  <si>
    <t>SCREW, PAN HEAD, FULL THD, #2-56 X .438 LG</t>
  </si>
  <si>
    <t>MS35206-207</t>
  </si>
  <si>
    <t>SCREW, PAN HEAD, FULL THD, #2-56 X .500 LG</t>
  </si>
  <si>
    <t>MS35206-210</t>
  </si>
  <si>
    <t>SCREW, PAN HEAD, FULL THD, #2-56 X .875 LG</t>
  </si>
  <si>
    <t>MS35206-214</t>
  </si>
  <si>
    <t>SCREW, PAN HEAD, FULL THD, #4-40 X .312 LG</t>
  </si>
  <si>
    <t>MS35206-215</t>
  </si>
  <si>
    <t>SCREW, PAN HEAD, FULL THD, #4-40 X .375 LG</t>
  </si>
  <si>
    <t>MS35206-216</t>
  </si>
  <si>
    <t>SCREW, PAN HEAD, FULL THD, #4-40 X .438 LG</t>
  </si>
  <si>
    <t>MS35206-217</t>
  </si>
  <si>
    <t>MS35206-218</t>
  </si>
  <si>
    <t>MS35206-219</t>
  </si>
  <si>
    <t>MS35206-220</t>
  </si>
  <si>
    <t>SCREW, PAN HEAD, FULL THD, #4-40 X .875 LG</t>
  </si>
  <si>
    <t>MS35206-221</t>
  </si>
  <si>
    <t>MS35206-225</t>
  </si>
  <si>
    <t>SCREW, PAN HEAD, FULL THD, #6-32 X .188 LG</t>
  </si>
  <si>
    <t>MS35206-226</t>
  </si>
  <si>
    <t>SCREW, PAN HEAD, FULL THD, #6-32 X .312 LG</t>
  </si>
  <si>
    <t>MS35206-228</t>
  </si>
  <si>
    <t>MS35206-230</t>
  </si>
  <si>
    <t>MS35206-231</t>
  </si>
  <si>
    <t>MS35206-232</t>
  </si>
  <si>
    <t>MS35206-233</t>
  </si>
  <si>
    <t>SCREW, PAN HEAD, FULL THD, #6-32 X .875 LG</t>
  </si>
  <si>
    <t>MS35206-234</t>
  </si>
  <si>
    <t>SCREW, PAN HEAD, FULL THD, #6-32 X 1.000 LG</t>
  </si>
  <si>
    <t>MS35206-257</t>
  </si>
  <si>
    <t>SCREW, PAN HEAD, FULL THD, #8-32 X 3.000 LG</t>
  </si>
  <si>
    <t>MS35206-258</t>
  </si>
  <si>
    <t>SCREW, PAN HEAD, FULL THD, #10-32 X .188 LG</t>
  </si>
  <si>
    <t>MS35206-362</t>
  </si>
  <si>
    <t>SCREW, PAN HEAD, FULL THD, #6-32 X 2.500 LG</t>
  </si>
  <si>
    <t>SCREW, PAN HEAD, FULL THD, #8-32 X .188 LG</t>
  </si>
  <si>
    <t>MS35206-241</t>
  </si>
  <si>
    <t>MS35206-242</t>
  </si>
  <si>
    <t>SCREW, PAN HEAD, FULL THD, #8-32 X .312 LG</t>
  </si>
  <si>
    <t>MS35206-243</t>
  </si>
  <si>
    <t>MS35206-244</t>
  </si>
  <si>
    <t>MS35206-245</t>
  </si>
  <si>
    <t>MS35206-331</t>
  </si>
  <si>
    <t>MS35206-246</t>
  </si>
  <si>
    <t>MS35206-247</t>
  </si>
  <si>
    <t>MS35206-248</t>
  </si>
  <si>
    <t>MS35206-249</t>
  </si>
  <si>
    <t>MS35206-250</t>
  </si>
  <si>
    <t>MS35206-251</t>
  </si>
  <si>
    <t>MS35206-252</t>
  </si>
  <si>
    <t>MS35206-253</t>
  </si>
  <si>
    <t>MS35206-261</t>
  </si>
  <si>
    <t>MS35206-262</t>
  </si>
  <si>
    <t>MS35206-263</t>
  </si>
  <si>
    <t>MS35206-337</t>
  </si>
  <si>
    <t>SCREW, PAN HEAD, FULL THD, #10-32 X .563 LG</t>
  </si>
  <si>
    <t>MS35207-261</t>
  </si>
  <si>
    <t>MS35207-262</t>
  </si>
  <si>
    <t>MS35207-263</t>
  </si>
  <si>
    <t>MS35207-264</t>
  </si>
  <si>
    <t>MS35207-265</t>
  </si>
  <si>
    <t>MS35207-266</t>
  </si>
  <si>
    <t>MS35207-267</t>
  </si>
  <si>
    <t>MS35207-268</t>
  </si>
  <si>
    <t>MS35207-269</t>
  </si>
  <si>
    <t>MS35207-270</t>
  </si>
  <si>
    <t>SCREW, PAN HEAD, FULL THD, #10-32 X 1.750 LG</t>
  </si>
  <si>
    <t>MS35207-271</t>
  </si>
  <si>
    <t>SCREW, PAN HEAD, FULL THD, #10-32 X 2.000 LG</t>
  </si>
  <si>
    <t>MS35207-272</t>
  </si>
  <si>
    <t>SCREW, PAN HEAD, FULL THD, #10-32 X 2.250 LG</t>
  </si>
  <si>
    <t>MS35207-274</t>
  </si>
  <si>
    <t>SCREW, PAN HEAD, FULL THD, #10-32 X 2.750 LG</t>
  </si>
  <si>
    <t>MS35207-275</t>
  </si>
  <si>
    <t>SCREW, PAN HEAD, FULL THD, #10-32 X 3.000 LG</t>
  </si>
  <si>
    <t>MS35207-273</t>
  </si>
  <si>
    <t>SCREW, PAN HEAD, FULL THD, #10-32 X 2.500 LG</t>
  </si>
  <si>
    <t>MS51957-25</t>
  </si>
  <si>
    <t>MS51957-26</t>
  </si>
  <si>
    <t>MS51957-27</t>
  </si>
  <si>
    <t>MS51957-28</t>
  </si>
  <si>
    <t>MS51957-29</t>
  </si>
  <si>
    <t>SCREW, PAN HEAD, FULL THD, #6-32 X.438 LG</t>
  </si>
  <si>
    <t>MS51957-30</t>
  </si>
  <si>
    <t>SCREW, PAN HEAD, FULL THD, #6-32 X.500 LG</t>
  </si>
  <si>
    <t>MS51957-31</t>
  </si>
  <si>
    <t>SCREW, PAN HEAD, FULL THD, #6-32 X.625 LG</t>
  </si>
  <si>
    <t>MS51957-32</t>
  </si>
  <si>
    <t>SCREW, PAN HEAD, FULL THD, #6-32 X.750 LG</t>
  </si>
  <si>
    <t>MS51957-33</t>
  </si>
  <si>
    <t>MS51957-34</t>
  </si>
  <si>
    <t>MS51957-35</t>
  </si>
  <si>
    <t>MS51957-36</t>
  </si>
  <si>
    <t>MS51957-37</t>
  </si>
  <si>
    <t>SCREW, PAN HEAD, FULL THD, #6-32 X 1.750 LG</t>
  </si>
  <si>
    <t>MS51957-38</t>
  </si>
  <si>
    <t>MS51957-49</t>
  </si>
  <si>
    <t>MS51958-58</t>
  </si>
  <si>
    <t>MS51958-60</t>
  </si>
  <si>
    <t>SCREW, PAN HEAD, FULL THD, #10-32 X .312 LG</t>
  </si>
  <si>
    <t>MS51958-61</t>
  </si>
  <si>
    <t>MS51958-62</t>
  </si>
  <si>
    <t>SCREW, PAN HEAD, FULL THD, #10-32 X.438 LG</t>
  </si>
  <si>
    <t>MS51958-63</t>
  </si>
  <si>
    <t>SCREW, PAN HEAD, FULL THD, #10-32 X.500 LG</t>
  </si>
  <si>
    <t>MS51958-64</t>
  </si>
  <si>
    <t>SCREW, PAN HEAD, FULL THD, #10-32 X.625 LG</t>
  </si>
  <si>
    <t>MS51958-65</t>
  </si>
  <si>
    <t>SCREW, PAN HEAD, FULL THD, #10-32 X.750 LG</t>
  </si>
  <si>
    <t>MS51958-66</t>
  </si>
  <si>
    <t>MS51958-67</t>
  </si>
  <si>
    <t>NAS623-2-2</t>
  </si>
  <si>
    <t>SCREW, PAN HEAD, GRIP/SHORT THD, #8-32 X .401 LG</t>
  </si>
  <si>
    <t>NAS623-2-3</t>
  </si>
  <si>
    <t>SCREW, PAN HEAD, GRIP/SHORT THD, #8-32 X .464 LG</t>
  </si>
  <si>
    <t>NAS623-2-4</t>
  </si>
  <si>
    <t>SCREW, PAN HEAD, GRIP/SHORT THD, #8-32 X .526 LG</t>
  </si>
  <si>
    <t>NAS623-2-5</t>
  </si>
  <si>
    <t>SCREW, PAN HEAD, GRIP/SHORT THD, #8-32 X .588 LG</t>
  </si>
  <si>
    <t>NAS623-2-6</t>
  </si>
  <si>
    <t>SCREW, PAN HEAD, GRIP/SHORT THD, #8-32 X .651 LG</t>
  </si>
  <si>
    <t>NAS623-2-7</t>
  </si>
  <si>
    <t>SCREW, PAN HEAD, GRIP/SHORT THD, #8-32 X .714 LG</t>
  </si>
  <si>
    <t>NAS623-2-8</t>
  </si>
  <si>
    <t>SCREW, PAN HEAD, GRIP/SHORT THD, #8-32 X .776 LG</t>
  </si>
  <si>
    <t>NAS623-2-9</t>
  </si>
  <si>
    <t>SCREW, PAN HEAD, GRIP/SHORT THD, #8-32 X .838 LG</t>
  </si>
  <si>
    <t>NAS623-2-10</t>
  </si>
  <si>
    <t>SCREW, PAN HEAD, GRIP/SHORT THD, #8-32 X .901 LG</t>
  </si>
  <si>
    <t>NAS623-2-11</t>
  </si>
  <si>
    <t>SCREW, PAN HEAD, GRIP/SHORT THD, #8-32 X .964 LG</t>
  </si>
  <si>
    <t>NAS623-2-12</t>
  </si>
  <si>
    <t>SCREW, PAN HEAD, GRIP/SHORT THD, #8-32 X 1.026 LG</t>
  </si>
  <si>
    <t>NAS623-3-2</t>
  </si>
  <si>
    <t>SCREW, PAN HEAD, GRIP/SHORT THD, #10-32 X .401 LG</t>
  </si>
  <si>
    <t>NAS623-3-3</t>
  </si>
  <si>
    <t>SCREW, PAN HEAD, GRIP/SHORT THD, #10-32 X .464 LG</t>
  </si>
  <si>
    <t>NAS623-3-4</t>
  </si>
  <si>
    <t>SCREW, PAN HEAD, GRIP/SHORT THD, #10-32 X .526 LG</t>
  </si>
  <si>
    <t>NAS623-3-5</t>
  </si>
  <si>
    <t>SCREW, PAN HEAD, GRIP/SHORT THD, #10-32 X .588 LG</t>
  </si>
  <si>
    <t>NAS623-3-6</t>
  </si>
  <si>
    <t>SCREW, PAN HEAD, GRIP/SHORT THD, #10-32 X .651 LG</t>
  </si>
  <si>
    <t>NAS623-3-7</t>
  </si>
  <si>
    <t>SCREW, PAN HEAD, GRIP/SHORT THD, #10-32 X .714 LG</t>
  </si>
  <si>
    <t>NAS623-3-8</t>
  </si>
  <si>
    <t>SCREW, PAN HEAD, GRIP/SHORT THD, #10-32 X .776 LG</t>
  </si>
  <si>
    <t>NAS623-3-9</t>
  </si>
  <si>
    <t>SCREW, PAN HEAD, GRIP/SHORT THD, #10-32 X .838 LG</t>
  </si>
  <si>
    <t>NAS623-3-10</t>
  </si>
  <si>
    <t>SCREW, PAN HEAD, GRIP/SHORT THD, #10-32 X .901 LG</t>
  </si>
  <si>
    <t>NAS623-3-11</t>
  </si>
  <si>
    <t>SCREW, PAN HEAD, GRIP/SHORT THD, #10-32 X .964 LG</t>
  </si>
  <si>
    <t>NAS623-3-12</t>
  </si>
  <si>
    <t>SCREW, PAN HEAD, GRIP/SHORT THD, #10-32 X 1.026 LG</t>
  </si>
  <si>
    <t>NAS623-3-24</t>
  </si>
  <si>
    <t>SCREW, PAN HEAD, GRIP/SHORT THD, #10-32 X 1.776 LG</t>
  </si>
  <si>
    <t>NAS623-4-3</t>
  </si>
  <si>
    <t>SCREW, PAN HEAD, GRIP/SHORT THD, #1/4-28 X .504 LG</t>
  </si>
  <si>
    <t>NAS623-4-4</t>
  </si>
  <si>
    <t>SCREW, PAN HEAD, GRIP/SHORT THD, #1/4-28 X .566 LG</t>
  </si>
  <si>
    <t>NAS623-4-5</t>
  </si>
  <si>
    <t>SCREW, PAN HEAD, GRIP/SHORT THD, #1/4-28 X .628 LG</t>
  </si>
  <si>
    <t>NAS623-4-6</t>
  </si>
  <si>
    <t>NAS623-4-7</t>
  </si>
  <si>
    <t>SCREW, PAN HEAD, GRIP/SHORT THD, #1/4-28 X .754 LG</t>
  </si>
  <si>
    <t>NAS623-4-8</t>
  </si>
  <si>
    <t>SCREW, PAN HEAD, GRIP/SHORT THD, #1/4-28 X .816 LG</t>
  </si>
  <si>
    <t>NAS623-4-9</t>
  </si>
  <si>
    <t>SCREW, PAN HEAD, GRIP/SHORT THD, #1/4-28 X .878 LG</t>
  </si>
  <si>
    <t>NAS623-4-10</t>
  </si>
  <si>
    <t>SCREW, PAN HEAD, GRIP/SHORT THD, #1/4-28 X .941 LG</t>
  </si>
  <si>
    <t>NAS623-4-11</t>
  </si>
  <si>
    <t>SCREW, PAN HEAD, GRIP/SHORT THD, #1/4-28 X 1.004 LG</t>
  </si>
  <si>
    <t>NAS623-4-12</t>
  </si>
  <si>
    <t>SCREW, PAN HEAD, GRIP/SHORT THD, #1/4-28 X 1.066 LG</t>
  </si>
  <si>
    <t>NAS623-5-2</t>
  </si>
  <si>
    <t>SCREW, PAN HEAD, GRIP/SHORT THD, #5/16-24 X .500 LG</t>
  </si>
  <si>
    <t>NAS623-5-3</t>
  </si>
  <si>
    <t>SCREW, PAN HEAD, GRIP/SHORT THD, #5/16-24 X .563 LG</t>
  </si>
  <si>
    <t>NAS623-5-4</t>
  </si>
  <si>
    <t>SCREW, PAN HEAD, GRIP/SHORT THD, #5/16-24 X .625 LG</t>
  </si>
  <si>
    <t>NAS623-5-5</t>
  </si>
  <si>
    <t>SCREW, PAN HEAD, GRIP/SHORT THD, #5/16-24 X .687 LG</t>
  </si>
  <si>
    <t>NAS623-5-6</t>
  </si>
  <si>
    <t>SCREW, PAN HEAD, GRIP/SHORT THD, #5/16-24 X .750 LG</t>
  </si>
  <si>
    <t>NAS623-5-7</t>
  </si>
  <si>
    <t>SCREW, PAN HEAD, GRIP/SHORT THD, #5/16-24 X .813 LG</t>
  </si>
  <si>
    <t>NAS623-5-8</t>
  </si>
  <si>
    <t>SCREW, PAN HEAD, GRIP/SHORT THD, #5/16-24 X .875 LG</t>
  </si>
  <si>
    <t>NAS623-5-9</t>
  </si>
  <si>
    <t>SCREW, PAN HEAD, GRIP/SHORT THD, #5/16-24 X .937 LG</t>
  </si>
  <si>
    <t>NAS623-5-10</t>
  </si>
  <si>
    <t>SCREW, PAN HEAD, GRIP/SHORT THD, #5/16-24 X 1.000 LG</t>
  </si>
  <si>
    <t>NAS623-5-11</t>
  </si>
  <si>
    <t>SCREW, PAN HEAD, GRIP/SHORT THD, #5/16-24 X 1.063 LG</t>
  </si>
  <si>
    <t>NAS623-5-12</t>
  </si>
  <si>
    <t>SCREW, PAN HEAD, GRIP/SHORT THD, #5/16-24 X 1.125 LG</t>
  </si>
  <si>
    <t>NAS623-6-1</t>
  </si>
  <si>
    <t>SCREW, PAN HEAD, GRIP/SHORT THD, #3/8-24 X .453 LG</t>
  </si>
  <si>
    <t>NAS623-6-2</t>
  </si>
  <si>
    <t>SCREW, PAN HEAD, GRIP/SHORT THD, #3/8-24 X .516 LG</t>
  </si>
  <si>
    <t>NAS623-6-3</t>
  </si>
  <si>
    <t>SCREW, PAN HEAD, GRIP/SHORT THD, #3/8-24 X .579 LG</t>
  </si>
  <si>
    <t>NAS623-6-4</t>
  </si>
  <si>
    <t>SCREW, PAN HEAD, GRIP/SHORT THD, #3/8-24 X .641 LG</t>
  </si>
  <si>
    <t>NAS623-6-5</t>
  </si>
  <si>
    <t>SCREW, PAN HEAD, GRIP/SHORT THD, #3/8-24 X .703 LG</t>
  </si>
  <si>
    <t>NAS623-6-6</t>
  </si>
  <si>
    <t>SCREW, PAN HEAD, GRIP/SHORT THD, #3/8-24 X .766 LG</t>
  </si>
  <si>
    <t>NAS623-6-7</t>
  </si>
  <si>
    <t>SCREW, PAN HEAD, GRIP/SHORT THD, #3/8-24 X .829 LG</t>
  </si>
  <si>
    <t>NAS623-6-8</t>
  </si>
  <si>
    <t>SCREW, PAN HEAD, GRIP/SHORT THD, #3/8-24 X .891 LG</t>
  </si>
  <si>
    <t>NAS623-6-9</t>
  </si>
  <si>
    <t>SCREW, PAN HEAD, GRIP/SHORT THD, #3/8-24 X .953 LG</t>
  </si>
  <si>
    <t>NAS623-6-10</t>
  </si>
  <si>
    <t>SCREW, PAN HEAD, GRIP/SHORT THD, #3/8-24 X 1.016 LG</t>
  </si>
  <si>
    <t>NAS623-6-11</t>
  </si>
  <si>
    <t>SCREW, PAN HEAD, GRIP/SHORT THD, #3/8-24 X 1.079 LG</t>
  </si>
  <si>
    <t>NAS623-6-12</t>
  </si>
  <si>
    <t>SCREW, PAN HEAD, GRIP/SHORT THD, #3/8-24 X 1.141 LG</t>
  </si>
  <si>
    <t>NAS1096-1-3</t>
  </si>
  <si>
    <t>SCREW, SMALL HEX HEAD, FULL THD, #6-32 X .188 LG</t>
  </si>
  <si>
    <t>NAS1096-1-4</t>
  </si>
  <si>
    <t>SCREW, SMALL HEX HEAD, FULL THD, #6-32 X .250 LG</t>
  </si>
  <si>
    <t>NAS1096-1-6</t>
  </si>
  <si>
    <t>SCREW, SMALL HEX HEAD, FULL THD, #6-32 X .375 LG</t>
  </si>
  <si>
    <t>NAS1096-2-4</t>
  </si>
  <si>
    <t>SCREW, SMALL HEX HEAD, FULL THD, #8-32 X .250 LG</t>
  </si>
  <si>
    <t>NAS1096-2-6</t>
  </si>
  <si>
    <t>SCREW, SMALL HEX HEAD, FULL THD, #8-32 X .375 LG</t>
  </si>
  <si>
    <t>NAS1096-2-8</t>
  </si>
  <si>
    <t>SCREW, SMALL HEX HEAD, FULL THD, #8-32 X .500 LG</t>
  </si>
  <si>
    <t>NAS1096-2-9</t>
  </si>
  <si>
    <t>SCREW, SMALL HEX HEAD, FULL THD, #8-32 X .563 LG</t>
  </si>
  <si>
    <t>NAS1096-2-10</t>
  </si>
  <si>
    <t>SCREW, SMALL HEX HEAD, FULL THD, #8-32 X .625 LG</t>
  </si>
  <si>
    <t>NAS1096-3-6</t>
  </si>
  <si>
    <t>SCREW, SMALL HEX HEAD, FULL THD, #10-32 X .375 LG</t>
  </si>
  <si>
    <t>NAS1096-3-7</t>
  </si>
  <si>
    <t>SCREW, SMALL HEX HEAD, FULL THD, #10-32 X .438 LG</t>
  </si>
  <si>
    <t>NAS1096-3-8</t>
  </si>
  <si>
    <t>SCREW, SMALL HEX HEAD, FULL THD, #10-32 X .500 LG</t>
  </si>
  <si>
    <t>NAS1096-3-10</t>
  </si>
  <si>
    <t>SCREW, SMALL HEX HEAD, FULL THD, #10-32 X .625 LG</t>
  </si>
  <si>
    <t>NAS1801-04-4</t>
  </si>
  <si>
    <t>SCREW, SMALL HEX HEAD, FULL THD, #4-40 X .250 LG</t>
  </si>
  <si>
    <t>NAS1801-04-6</t>
  </si>
  <si>
    <t>SCREW, SMALL HEX HEAD, FULL THD, #4-40 X .375 LG</t>
  </si>
  <si>
    <t>NAS1801-04-7</t>
  </si>
  <si>
    <t>SCREW, SMALL HEX HEAD, FULL THD, #4-40 X .438 LG</t>
  </si>
  <si>
    <t>NAS1801-04-8</t>
  </si>
  <si>
    <t>SCREW, SMALL HEX HEAD, FULL THD, #4-40 X .500 LG</t>
  </si>
  <si>
    <t>NAS1801-04-9</t>
  </si>
  <si>
    <t>SCREW, SMALL HEX HEAD, FULL THD, #6-32 X .563 LG</t>
  </si>
  <si>
    <t>NAS1801-04-10</t>
  </si>
  <si>
    <t>SCREW, SMALL HEX HEAD, FULL THD, #4-40 X .625 LG</t>
  </si>
  <si>
    <t>NAS1801-04-11</t>
  </si>
  <si>
    <t>SCREW, SMALL HEX HEAD, FULL THD, #4-40 X .688 LG</t>
  </si>
  <si>
    <t>NAS1801-04-12</t>
  </si>
  <si>
    <t>SCREW, SMALL HEX HEAD, FULL THD, #4-40 X .750 LG</t>
  </si>
  <si>
    <t>NAS1801-04-13</t>
  </si>
  <si>
    <t>SCREW, SMALL HEX HEAD, FULL THD, #4-40 X .813 LG</t>
  </si>
  <si>
    <t>NAS1801-04-14</t>
  </si>
  <si>
    <t>SCREW, SMALL HEX HEAD, FULL THD, #6-32 X .875 LG</t>
  </si>
  <si>
    <t>NAS1801-04-15</t>
  </si>
  <si>
    <t>SCREW, SMALL HEX HEAD, FULL THD, #4-40 X .934 LG</t>
  </si>
  <si>
    <t>NAS1801-04-16</t>
  </si>
  <si>
    <t>SCREW, SMALL HEX HEAD, FULL THD, #6-32 X 1.000 LG</t>
  </si>
  <si>
    <t>NAS1801-06-4</t>
  </si>
  <si>
    <t>NAS1801-06-6</t>
  </si>
  <si>
    <t>NAS1801-06-7</t>
  </si>
  <si>
    <t>SCREW, SMALL HEX HEAD, FULL THD, #6-32 X .438 LG</t>
  </si>
  <si>
    <t>NAS1801-06-8</t>
  </si>
  <si>
    <t>SCREW, SMALL HEX HEAD, FULL THD, #6-32 X .500 LG</t>
  </si>
  <si>
    <t>NAS1801-06-9</t>
  </si>
  <si>
    <t>NAS1801-06-10</t>
  </si>
  <si>
    <t>SCREW, SMALL HEX HEAD, FULL THD, #6-32 X .625 LG</t>
  </si>
  <si>
    <t>NAS1801-06-11</t>
  </si>
  <si>
    <t>SCREW, SMALL HEX HEAD, FULL THD, #6-32 X .688 LG</t>
  </si>
  <si>
    <t>NAS1801-06-12</t>
  </si>
  <si>
    <t>SCREW, SMALL HEX HEAD, FULL THD, #8-32 X .750 LG</t>
  </si>
  <si>
    <t>NAS1801-06-13</t>
  </si>
  <si>
    <t>SCREW, SMALL HEX HEAD, FULL THD, #6-32 X .813 LG</t>
  </si>
  <si>
    <t>NAS1801-06-14</t>
  </si>
  <si>
    <t>NAS1801-06-15</t>
  </si>
  <si>
    <t>SCREW, SMALL HEX HEAD, FULL THD, #6-32 X .934 LG</t>
  </si>
  <si>
    <t>NAS1801-06-16</t>
  </si>
  <si>
    <t>NAS1801-08-4</t>
  </si>
  <si>
    <t>NAS1801-08-5</t>
  </si>
  <si>
    <t>SCREW, SMALL HEX HEAD, FULL THD, #8-32 X .313 LG</t>
  </si>
  <si>
    <t>NAS1801-08-6</t>
  </si>
  <si>
    <t>NAS1801-08-7</t>
  </si>
  <si>
    <t>SCREW, SMALL HEX HEAD, FULL THD, #8-32 X .438 LG</t>
  </si>
  <si>
    <t>NAS1801-08-8</t>
  </si>
  <si>
    <t>NAS1801-08-9</t>
  </si>
  <si>
    <t>NAS1801-08-10</t>
  </si>
  <si>
    <t>NAS1801-08-11</t>
  </si>
  <si>
    <t>SCREW, SMALL HEX HEAD, FULL THD, #8-32 X .688 LG</t>
  </si>
  <si>
    <t>NAS1801-08-12</t>
  </si>
  <si>
    <t>NAS1801-08-13</t>
  </si>
  <si>
    <t>SCREW, SMALL HEX HEAD, FULL THD, #8-32 X .813 LG</t>
  </si>
  <si>
    <t>NAS1801-08-14</t>
  </si>
  <si>
    <t>SCREW, SMALL HEX HEAD, FULL THD, #8-32 X .875 LG</t>
  </si>
  <si>
    <t>NAS1801-08-15</t>
  </si>
  <si>
    <t>SCREW, SMALL HEX HEAD, FULL THD, #8-32 X .934 LG</t>
  </si>
  <si>
    <t>NAS1801-08-16</t>
  </si>
  <si>
    <t>SCREW, SMALL HEX HEAD, FULL THD, #8-32 X 1.000 LG</t>
  </si>
  <si>
    <t>NAS1801-08-36</t>
  </si>
  <si>
    <t>SCREW, SMALL HEX HEAD, FULL THD, #8-32 X 2.250 LG</t>
  </si>
  <si>
    <t>NAS1801-3-5</t>
  </si>
  <si>
    <t>SCREW, SMALL HEX HEAD, FULL THD, #10-32 X .313 LG</t>
  </si>
  <si>
    <t>NAS1801-3-6</t>
  </si>
  <si>
    <t>NAS1801-3-7</t>
  </si>
  <si>
    <t>NAS1801-3-8</t>
  </si>
  <si>
    <t>NAS1801-3-9</t>
  </si>
  <si>
    <t>SCREW, SMALL HEX HEAD, FULL THD, #10-32 X .563 LG</t>
  </si>
  <si>
    <t>NAS1801-3-10</t>
  </si>
  <si>
    <t>NAS1801-3-11</t>
  </si>
  <si>
    <t>SCREW, SMALL HEX HEAD, FULL THD, #10-32 X .688 LG</t>
  </si>
  <si>
    <t>NAS1801-3-12</t>
  </si>
  <si>
    <t>SCREW, SMALL HEX HEAD, FULL THD, #10-32 X .750 LG</t>
  </si>
  <si>
    <t>NAS1801-3-13</t>
  </si>
  <si>
    <t>SCREW, SMALL HEX HEAD, FULL THD, #10-32 X .813 LG</t>
  </si>
  <si>
    <t>NAS1801-3-14</t>
  </si>
  <si>
    <t>SCREW, SMALL HEX HEAD, FULL THD, #10-32 X .875 LG</t>
  </si>
  <si>
    <t>NAS1801-3-15</t>
  </si>
  <si>
    <t>SCREW, SMALL HEX HEAD, FULL THD, #10-32 X .934 LG</t>
  </si>
  <si>
    <t>NAS1801-3-16</t>
  </si>
  <si>
    <t>SCREW, SMALL HEX HEAD, FULL THD, #10-32 X 1.000 LG</t>
  </si>
  <si>
    <t>NAS1801-3-22</t>
  </si>
  <si>
    <t>SCREW, SMALL HEX HEAD, FULL THD, #10-32 X 1.375 LG</t>
  </si>
  <si>
    <t>NAS1801-4-5</t>
  </si>
  <si>
    <t>SCREW, SMALL HEX HEAD, FULL THD, 1/4-28 X .313 LG</t>
  </si>
  <si>
    <t>NAS1801-4-6</t>
  </si>
  <si>
    <t>SCREW, SMALL HEX HEAD, FULL THD, 1/4-28 X .375 LG</t>
  </si>
  <si>
    <t>NAS1801-4-7</t>
  </si>
  <si>
    <t>SCREW, SMALL HEX HEAD, FULL THD, 1/4-28 X .438 LG</t>
  </si>
  <si>
    <t>NAS1801-4-8</t>
  </si>
  <si>
    <t>SCREW, SMALL HEX HEAD, FULL THD, 1/4-28 X .500 LG</t>
  </si>
  <si>
    <t>NAS1801-4-9</t>
  </si>
  <si>
    <t>SCREW, SMALL HEX HEAD, FULL THD, 1/4-28 X .563 LG</t>
  </si>
  <si>
    <t>NAS1801-4-10</t>
  </si>
  <si>
    <t>SCREW, SMALL HEX HEAD, FULL THD, 1/4-28 X .625 LG</t>
  </si>
  <si>
    <t>NAS1801-4-11</t>
  </si>
  <si>
    <t>SCREW, SMALL HEX HEAD, FULL THD, 1/4-28 X .688 LG</t>
  </si>
  <si>
    <t>NAS1801-4-12</t>
  </si>
  <si>
    <t>SCREW, SMALL HEX HEAD, FULL THD, 1/4-28 X .750 LG</t>
  </si>
  <si>
    <t>NAS1801-4-13</t>
  </si>
  <si>
    <t>SCREW, SMALL HEX HEAD, FULL THD, 1/4-28 X .813 LG</t>
  </si>
  <si>
    <t>NAS1801-4-14</t>
  </si>
  <si>
    <t>SCREW, SMALL HEX HEAD, FULL THD, 1/4-28 X .875 LG</t>
  </si>
  <si>
    <t>NAS1801-4-15</t>
  </si>
  <si>
    <t>SCREW, SMALL HEX HEAD, FULL THD, 1/4-28 X .934 LG</t>
  </si>
  <si>
    <t>NAS1801-4-16</t>
  </si>
  <si>
    <t>SCREW, SMALL HEX HEAD, FULL THD, 1/4-28 X 1.000 LG</t>
  </si>
  <si>
    <t>NAS1801-5-6</t>
  </si>
  <si>
    <t>SCREW, SMALL HEX HEAD, FULL THD, 5/16-24 X .375 LG</t>
  </si>
  <si>
    <t>NAS1801-5-7</t>
  </si>
  <si>
    <t>SCREW, SMALL HEX HEAD, FULL THD, 5/16-24 X .438 LG</t>
  </si>
  <si>
    <t>NAS1801-5-8</t>
  </si>
  <si>
    <t>SCREW, SMALL HEX HEAD, FULL THD, 5/16-24 X .500 LG</t>
  </si>
  <si>
    <t>NAS1801-5-9</t>
  </si>
  <si>
    <t>SCREW, SMALL HEX HEAD, FULL THD, 5/16-24 X .563 LG</t>
  </si>
  <si>
    <t>NAS1801-5-10</t>
  </si>
  <si>
    <t>SCREW, SMALL HEX HEAD, FULL THD, 5/16-24 X .625 LG</t>
  </si>
  <si>
    <t>NAS1801-5-11</t>
  </si>
  <si>
    <t>SCREW, SMALL HEX HEAD, FULL THD, 5/16-24 X .688 LG</t>
  </si>
  <si>
    <t>NAS1801-5-12</t>
  </si>
  <si>
    <t>SCREW, SMALL HEX HEAD, FULL THD, 5/16-24 X .750 LG</t>
  </si>
  <si>
    <t>NAS1801-5-13</t>
  </si>
  <si>
    <t>SCREW, SMALL HEX HEAD, FULL THD, 5/16-24 X .813 LG</t>
  </si>
  <si>
    <t>NAS1801-5-14</t>
  </si>
  <si>
    <t>SCREW, SMALL HEX HEAD, FULL THD, 5/16-24 X .875 LG</t>
  </si>
  <si>
    <t>NAS1801-5-15</t>
  </si>
  <si>
    <t>SCREW, SMALL HEX HEAD, FULL THD, 5/16-24 X .934 LG</t>
  </si>
  <si>
    <t>NAS1801-5-16</t>
  </si>
  <si>
    <t>SCREW, SMALL HEX HEAD, FULL THD, 5/16-24 X 1.000 LG</t>
  </si>
  <si>
    <t>NAS1801-6-6</t>
  </si>
  <si>
    <t>SCREW, SMALL HEX HEAD, FULL THD, 3/8-24 X .375 LG</t>
  </si>
  <si>
    <t>NAS1801-6-7</t>
  </si>
  <si>
    <t>SCREW, SMALL HEX HEAD, FULL THD, 3/8-24 X .438 LG</t>
  </si>
  <si>
    <t>NAS1801-6-8</t>
  </si>
  <si>
    <t>SCREW, SMALL HEX HEAD, FULL THD, 3/8-24 X .500 LG</t>
  </si>
  <si>
    <t>NAS1801-6-9</t>
  </si>
  <si>
    <t>SCREW, SMALL HEX HEAD, FULL THD, 3/8-24 X .563 LG</t>
  </si>
  <si>
    <t>NAS1801-6-10</t>
  </si>
  <si>
    <t>SCREW, SMALL HEX HEAD, FULL THD, 3/8-24 X .625 LG</t>
  </si>
  <si>
    <t>NAS1801-6-11</t>
  </si>
  <si>
    <t>SCREW, SMALL HEX HEAD, FULL THD, 3/8-24 X .688 LG</t>
  </si>
  <si>
    <t>NAS1801-6-12</t>
  </si>
  <si>
    <t>SCREW, SMALL HEX HEAD, FULL THD, 3/8-24 X .750 LG</t>
  </si>
  <si>
    <t>NAS1801-6-13</t>
  </si>
  <si>
    <t>SCREW, SMALL HEX HEAD, FULL THD, 3/8-24 X .813 LG</t>
  </si>
  <si>
    <t>NAS1801-6-14</t>
  </si>
  <si>
    <t>SCREW, SMALL HEX HEAD, FULL THD, 3/8-24 X .875 LG</t>
  </si>
  <si>
    <t>NAS1801-6-15</t>
  </si>
  <si>
    <t>SCREW, SMALL HEX HEAD, FULL THD, 3/8-24 X .934 LG</t>
  </si>
  <si>
    <t>NAS1801-6-16</t>
  </si>
  <si>
    <t>SCREW, SMALL HEX HEAD, FULL THD, 3/8-24 X 1.000 LG</t>
  </si>
  <si>
    <t>NAS1351-02-8</t>
  </si>
  <si>
    <t>SCREW, CAP, SOCKET HEAD, #2-64 X .500 LG</t>
  </si>
  <si>
    <t>NAS1351-08-6</t>
  </si>
  <si>
    <t>SCREW, CAP, SOCKET HEAD, #8-36 X .38 LG</t>
  </si>
  <si>
    <t>NAS1351C3-24</t>
  </si>
  <si>
    <t>SCREW, CAP, SOCKET HEAD, #10-32 X 1.500 LG</t>
  </si>
  <si>
    <t>NAS1351-3-10P</t>
  </si>
  <si>
    <t>SCREW, CAP, SOCKET HEAD, #10-32 X .625 LG</t>
  </si>
  <si>
    <t>NAS1351-3-12</t>
  </si>
  <si>
    <t>SCREW, CAP, SOCKET HEAD, #10-32 X .750 LG</t>
  </si>
  <si>
    <t>NAS1351-3-14</t>
  </si>
  <si>
    <t>SCREW, CAP, SOCKET HEAD, #10-32 X .875 LG</t>
  </si>
  <si>
    <t>NAS1351-3-8</t>
  </si>
  <si>
    <t>SCREW, CAP, SOCKET HEAD, #10-32 X .500 LG</t>
  </si>
  <si>
    <t>NAS1351-3LE-6P</t>
  </si>
  <si>
    <t>SCREW, CAP, SOCKET HEAD, #10-32 X .375 LG</t>
  </si>
  <si>
    <t>NAS1352-02-8</t>
  </si>
  <si>
    <t>SCREW, CAP, SOCKET HEAD, #2-56 X .500 LG</t>
  </si>
  <si>
    <t>NAS1352-04-8</t>
  </si>
  <si>
    <t>SCREW, CAP, SOCKET HEAD, #4-40 X .500 LG</t>
  </si>
  <si>
    <t>SCREW, CAP, SOCKET HEAD, #6-32 X .625 LG</t>
  </si>
  <si>
    <t>NAS1352-06-4</t>
  </si>
  <si>
    <t>SCREW, CAP, SOCKET HEAD, #6-32 X .250 LG</t>
  </si>
  <si>
    <t>NAS1352-06-6</t>
  </si>
  <si>
    <t>SCREW, CAP, SOCKET HEAD, #6-32 X .375 LG</t>
  </si>
  <si>
    <t>NAS1352-08-4</t>
  </si>
  <si>
    <t>SCREW, CAP, SOCKET HEAD, #8-32 X .250 LG</t>
  </si>
  <si>
    <t>NAS1352-08-6</t>
  </si>
  <si>
    <t>SCREW, CAP, SOCKET HEAD, #8-32 X .375 LG</t>
  </si>
  <si>
    <t>NAS1352-08-8</t>
  </si>
  <si>
    <t>SCREW, CAP, SOCKET HEAD, #8-32 X .500 LG</t>
  </si>
  <si>
    <t>NAS1352-08-10</t>
  </si>
  <si>
    <t>SCREW, CAP, SOCKET HEAD, #8-32 X .625 LG</t>
  </si>
  <si>
    <t>DIN912M2X4</t>
  </si>
  <si>
    <t>SCREW, SOCKET HEAD, M2 X 4  (metric)</t>
  </si>
  <si>
    <t>DIN912M2X8</t>
  </si>
  <si>
    <t>SCREW, SOCKET HEAD, M2 X 8  (metric)</t>
  </si>
  <si>
    <t>DIN912M2X6</t>
  </si>
  <si>
    <t>SCREW. SOCKET HEAD, M2 X 6 (metric)</t>
  </si>
  <si>
    <t>DIN912M2X12</t>
  </si>
  <si>
    <t>SCREW. SOCKET HEAD, M2 X 12 (metric)</t>
  </si>
  <si>
    <t>NAS8302-3</t>
  </si>
  <si>
    <t>SCREW, WASHER HEAD, FULL THD, #8-32 X .19 LG</t>
  </si>
  <si>
    <t>NAS8302-4</t>
  </si>
  <si>
    <t>SCREW, WASHER HEAD, FULL THD, #8-32 X .25 LG</t>
  </si>
  <si>
    <t>NAS8302-5</t>
  </si>
  <si>
    <t>SCREW, WASHER HEAD, FULL THD, #8-32 X .31 LG</t>
  </si>
  <si>
    <t>NAS8302-6</t>
  </si>
  <si>
    <t>SCREW, WASHER HEAD, FULL THD, #8-32 X .38 LG</t>
  </si>
  <si>
    <t>NAS8302-7</t>
  </si>
  <si>
    <t>SCREW, WASHER HEAD, FULL THD, #8-32 X .44 LG</t>
  </si>
  <si>
    <t>NAS8302-8</t>
  </si>
  <si>
    <t>SCREW, WASHER HEAD, FULL THD, #8-32 X .50 LG</t>
  </si>
  <si>
    <t>NAS8302-9</t>
  </si>
  <si>
    <t>SCREW, WASHER HEAD, FULL THD, #8-32 X .56 LG</t>
  </si>
  <si>
    <t>NAS8302-10</t>
  </si>
  <si>
    <t>SCREW, WASHER HEAD, FULL THD, #8-32 X .62 LG</t>
  </si>
  <si>
    <t>NAS8302-11</t>
  </si>
  <si>
    <t>SCREW, WASHER HEAD, FULL THD, #8-32 X .69 LG</t>
  </si>
  <si>
    <t>NAS8302-12</t>
  </si>
  <si>
    <t>SCREW, WASHER HEAD, FULL THD, #8-32 X .75 LG</t>
  </si>
  <si>
    <t>NAS8302-13</t>
  </si>
  <si>
    <t>SCREW, WASHER HEAD, FULL THD, #8-32 X .81 LG</t>
  </si>
  <si>
    <t>NAS8302-14</t>
  </si>
  <si>
    <t>SCREW, WASHER HEAD, FULL THD, #8-32 X .88 LG</t>
  </si>
  <si>
    <t>NAS8302-15</t>
  </si>
  <si>
    <t>SCREW, WASHER HEAD, FULL THD, #8-32 X .94 LG</t>
  </si>
  <si>
    <t>NAS8302-16</t>
  </si>
  <si>
    <t>SCREW, WASHER HEAD, FULL THD, #8-32 X 1.00 LG</t>
  </si>
  <si>
    <t>NAS8302-30</t>
  </si>
  <si>
    <t>SCREW, WASHER HEAD, FULL THD, #8-32 X 1.88 LG</t>
  </si>
  <si>
    <t>NAS8303-3</t>
  </si>
  <si>
    <t>SCREW, WASHER HEAD, FULL THD, #10-32 X .19 LG</t>
  </si>
  <si>
    <t>NAS8303-4</t>
  </si>
  <si>
    <t>SCREW, WASHER HEAD, FULL THD, #10-32 X .25 LG</t>
  </si>
  <si>
    <t>NAS8303-5</t>
  </si>
  <si>
    <t>SCREW, WASHER HEAD, FULL THD, #10-32 X .31 LG</t>
  </si>
  <si>
    <t>NAS8303-6</t>
  </si>
  <si>
    <t>SCREW, WASHER HEAD, FULL THD, #10-32 X .38 LG</t>
  </si>
  <si>
    <t>NAS8303-7</t>
  </si>
  <si>
    <t>SCREW, WASHER HEAD, FULL THD, #10-32 X .44 LG</t>
  </si>
  <si>
    <t>NAS8303-8</t>
  </si>
  <si>
    <t>SCREW, WASHER HEAD, FULL THD, #10-32 X .50 LG</t>
  </si>
  <si>
    <t>NAS8303-9</t>
  </si>
  <si>
    <t>SCREW, WASHER HEAD, FULL THD, #10-32 X .56 LG</t>
  </si>
  <si>
    <t>NAS8303-10</t>
  </si>
  <si>
    <t>SCREW, WASHER HEAD, FULL THD, #10-32 X .62 LG</t>
  </si>
  <si>
    <t>NAS8303-11</t>
  </si>
  <si>
    <t>SCREW, WASHER HEAD, FULL THD, #10-32 X .69 LG</t>
  </si>
  <si>
    <t>NAS8303-12</t>
  </si>
  <si>
    <t>SCREW, WASHER HEAD, FULL THD, #10-32 X .75 LG</t>
  </si>
  <si>
    <t>NAS8303-13</t>
  </si>
  <si>
    <t>SCREW, WASHER HEAD, FULL THD, #10-32 X .88 LG</t>
  </si>
  <si>
    <t>NAS8303-14</t>
  </si>
  <si>
    <t>NAS8303-15</t>
  </si>
  <si>
    <t>SCREW, WASHER HEAD, FULL THD, #10-32 X .94 LG</t>
  </si>
  <si>
    <t>NAS8303-16</t>
  </si>
  <si>
    <t>SCREW, WASHER HEAD, FULL THD, #10-32 X 1.00 LG</t>
  </si>
  <si>
    <t>NAS43DD1-9N</t>
  </si>
  <si>
    <t>SPACER, SLEEVE, .240-.260 OD X .143-.172 ID X .140 LG</t>
  </si>
  <si>
    <t>NAS43DD1-18N</t>
  </si>
  <si>
    <t>SPACER, SLEEVE, .240-.260 OD X .143-.172 ID X .281 LG</t>
  </si>
  <si>
    <t>NAS43DD1-32N</t>
  </si>
  <si>
    <t>SPACER, SLEEVE, .240-.260 OD X .143-.172 ID X .500 LG</t>
  </si>
  <si>
    <t>NAS43DD3-10N</t>
  </si>
  <si>
    <t>SPACER, SLEEVE, .302-.322 OD X .194-.234 ID X .156 LG</t>
  </si>
  <si>
    <t>NAS43DD3-12FC</t>
  </si>
  <si>
    <t>SPACER, SLEEVE, .302-.322 OD X .194-.234 ID X .188 LG</t>
  </si>
  <si>
    <t>NAS43DD3-12FN</t>
  </si>
  <si>
    <t>NAS43DD3-18N</t>
  </si>
  <si>
    <t>SPACER, SLEEVE, .302-.322 OD X .194-.234 ID X .281 LG</t>
  </si>
  <si>
    <t>NAS43DD3-16</t>
  </si>
  <si>
    <t>SPACER, SLEEVE, .302-.322 OD X .194-.234 ID X .250 LG</t>
  </si>
  <si>
    <t>NAS43DD3-32N</t>
  </si>
  <si>
    <t>SPACER, SLEEVE, .302-.322 OD X .194-.234 ID X .500 LG</t>
  </si>
  <si>
    <t>NAS43DD3-40N</t>
  </si>
  <si>
    <t>SPACER, SLEEVE, .302-.322 OD X .194-.234 ID X .625 LG</t>
  </si>
  <si>
    <t>NAS43DD3-48N</t>
  </si>
  <si>
    <t>SPACER, SLEEVE, .302-.322 OD X .194-.234 ID X .750 LG</t>
  </si>
  <si>
    <t>NAS43HT3-16</t>
  </si>
  <si>
    <t>SPACER, SLEEVE, .302-.322 OD X .194 - .234 ID X .250 LG</t>
  </si>
  <si>
    <t>NAS43HT1-24</t>
  </si>
  <si>
    <t>SPACER, SLEEVE, .240-.260 OD X .143-.172 ID X .375 LG</t>
  </si>
  <si>
    <t>NAS43DD4-46N</t>
  </si>
  <si>
    <t>SPACER, SLEEVE, .365-.385 OD X .256-.297 ID X .718 LG</t>
  </si>
  <si>
    <t>5610-291-031</t>
  </si>
  <si>
    <t>WASHER, NYLON, #12 X .031 THK</t>
  </si>
  <si>
    <t>SEASTROM</t>
  </si>
  <si>
    <t>91545A156</t>
  </si>
  <si>
    <t>WASHER, FLAT, NYLATRON, 3/8 DIA X .034 THK</t>
  </si>
  <si>
    <t>91545A270</t>
  </si>
  <si>
    <t>95630A241</t>
  </si>
  <si>
    <t>WASHER, FLAT, WHITE PTFE, #10 X .028 THK</t>
  </si>
  <si>
    <t>90940A007</t>
  </si>
  <si>
    <t>WASHER, FLAT, POLYCARBONATE, #6 X .02 - .04 THK</t>
  </si>
  <si>
    <t>NAS1515H4L</t>
  </si>
  <si>
    <t>WASHER, NYLON, 1/4 DIA X .031 THK</t>
  </si>
  <si>
    <t>5610-149-31</t>
  </si>
  <si>
    <t>WASHER, NYLON, 5/16 DIA X .031 THK</t>
  </si>
  <si>
    <t>5610-149-62</t>
  </si>
  <si>
    <t>WASHER, NYLON, 5/16 DIA X .062 THK</t>
  </si>
  <si>
    <t>NAS1515H6</t>
  </si>
  <si>
    <t>WASHER, NYLON, 3/8 DIA X .063 THK</t>
  </si>
  <si>
    <t>NAS1515H6L</t>
  </si>
  <si>
    <t>WASHER, NYLON, .390 ID DIA X .031 THK</t>
  </si>
  <si>
    <t>NAS1515H08L</t>
  </si>
  <si>
    <t>WASHER, NYLON, #8 X .031 THK</t>
  </si>
  <si>
    <t>CDSP5801-1A</t>
  </si>
  <si>
    <t>WASHER, FINISH, CSK #6</t>
  </si>
  <si>
    <t>WASHER, FINISH, CSK #8</t>
  </si>
  <si>
    <t>CDSP5801-2SD</t>
  </si>
  <si>
    <t>WASHER, FINISH, CSK #10</t>
  </si>
  <si>
    <t>CDSP5801-3SD</t>
  </si>
  <si>
    <t>DIN125M2</t>
  </si>
  <si>
    <t>WASHER, FLAT, M2, .012 THK</t>
  </si>
  <si>
    <t>MS35335-32</t>
  </si>
  <si>
    <t>WASHER, LOCK , FLAT-EXTERNAL TOOTH, #10 X .025 THK</t>
  </si>
  <si>
    <t>MS35338-42</t>
  </si>
  <si>
    <t>WASHER, LOCK SPRING, HELICAL, # 8 X .040 THK</t>
  </si>
  <si>
    <t>MS35338-43</t>
  </si>
  <si>
    <t>WASHER, LOCK SPRING, HELICAL, # 10 X .047 THK</t>
  </si>
  <si>
    <t>MS35338-46</t>
  </si>
  <si>
    <t>WASHER, LOCK SPRING, HELICAL, 3/8 DIA X .094 THK</t>
  </si>
  <si>
    <t>NAS1149FN216P</t>
  </si>
  <si>
    <t>WASHER, FLAT, #2X .016 THK</t>
  </si>
  <si>
    <t>NAS1149FN332P</t>
  </si>
  <si>
    <t>WASHER, FLAT, #3 X .032 THK</t>
  </si>
  <si>
    <t>NAS1149FN416P</t>
  </si>
  <si>
    <t>WASHER, FLAT, #4 X .016 THK</t>
  </si>
  <si>
    <t>NAS1149FN432P</t>
  </si>
  <si>
    <t>WASHER, FLAT, #4 X .032 THK</t>
  </si>
  <si>
    <t>NAS1149GN432P</t>
  </si>
  <si>
    <t>NAS1149CN616B</t>
  </si>
  <si>
    <t>WASHER, FLAT, #6 X .016 THK</t>
  </si>
  <si>
    <t>NAS1149EN616P</t>
  </si>
  <si>
    <t xml:space="preserve">NAS1149EN632P </t>
  </si>
  <si>
    <t xml:space="preserve">WASHER, FLAT, #6 X .032 THK </t>
  </si>
  <si>
    <t>WASHER, FLAT, #6 X .032 THK</t>
  </si>
  <si>
    <t>NAS1149 FN816P</t>
  </si>
  <si>
    <t>WASHER, FLAT, #8 X .016 THK</t>
  </si>
  <si>
    <t>NAS1149DN832K</t>
  </si>
  <si>
    <t>WASHER, FLAT, #8 X .032 THK</t>
  </si>
  <si>
    <t>NAS1149C0316R</t>
  </si>
  <si>
    <t>WASHER, FLAT, #10 X .016 THK</t>
  </si>
  <si>
    <t>NAS1149D0332K</t>
  </si>
  <si>
    <t>WASHER, FLAT, #10 X .032 THK</t>
  </si>
  <si>
    <t>NAS1149E0332P</t>
  </si>
  <si>
    <t>NAS1149F0363P</t>
  </si>
  <si>
    <t>WASHER, FLAT, #10 X .063 THK</t>
  </si>
  <si>
    <t>NAS1149F0316P</t>
  </si>
  <si>
    <t>NAS1149G0316P</t>
  </si>
  <si>
    <t>WASHER, FLAT, 1/4 DIA X .032 THK</t>
  </si>
  <si>
    <t>NAS1149C0463R</t>
  </si>
  <si>
    <t>WASHER, FLAT, 1/4 DIA X .063 THK</t>
  </si>
  <si>
    <t>NAS1149F0616B</t>
  </si>
  <si>
    <t>WASHER, FLAT, 3/8 DIA X .016 THK</t>
  </si>
  <si>
    <t>NAS1149F0632P</t>
  </si>
  <si>
    <t>WASHER, FLAT, 3/8 DIA X .032 THK</t>
  </si>
  <si>
    <t>NAS1149F0716P</t>
  </si>
  <si>
    <t>WASHER, FLAT, 7/16 DIA X .016 THK</t>
  </si>
  <si>
    <t>NAS620-10L</t>
  </si>
  <si>
    <t>WASHER, FLAT, SMALL O.D. #10 X .032 THK</t>
  </si>
  <si>
    <t>NAS620-4L</t>
  </si>
  <si>
    <t>WASHER, FLAT, SMALL O.D. #4 X 016 THK</t>
  </si>
  <si>
    <t>NAS620-6L</t>
  </si>
  <si>
    <t>WASHER, FLAT, SMALL O.D. #6 X .016 THK</t>
  </si>
  <si>
    <t>NAS620-8</t>
  </si>
  <si>
    <t>WASHER, FLAT, SMALL O.D. #8 X .032 THK</t>
  </si>
  <si>
    <t>NAS620-8L</t>
  </si>
  <si>
    <t>WASHER, FLAT, SMALL O.D. #8 X .016 THK</t>
  </si>
  <si>
    <t>NAS620C-6</t>
  </si>
  <si>
    <t>WASHER, FLAT, SMALL O.D. #6 X .032 THK</t>
  </si>
  <si>
    <t>C171031-23</t>
  </si>
  <si>
    <t>1374-1</t>
  </si>
  <si>
    <t>RECEPTACLE</t>
  </si>
  <si>
    <t>LEVITON</t>
  </si>
  <si>
    <t>88010200</t>
  </si>
  <si>
    <t>DUPLEX SOCKET, CONTINENTAL EUROPEAN, 250V - IVORY</t>
  </si>
  <si>
    <t>INTERPOWER</t>
  </si>
  <si>
    <t>88010210</t>
  </si>
  <si>
    <t>DUPLEX SOCKET, CONTINENTAL EUROPEAN, 250V - BLACK</t>
  </si>
  <si>
    <t>88010550</t>
  </si>
  <si>
    <t>DUPLEX SOCKET, FRENCH, 250V - IVORY</t>
  </si>
  <si>
    <t>88010611</t>
  </si>
  <si>
    <t>SINGLE SOCKET, CONTINENTAL EUROPEAN, 250V - BLACK</t>
  </si>
  <si>
    <t>88010621</t>
  </si>
  <si>
    <t>SINGLE SOCKET, UK/IRELAND, PANEL MOUNT, 250V - WHITE</t>
  </si>
  <si>
    <t>88010020</t>
  </si>
  <si>
    <t>88010610</t>
  </si>
  <si>
    <t>SINGLE SOCKET, CONTINENTAL EUROPEAN, 250V - IVORY</t>
  </si>
  <si>
    <t>88010500</t>
  </si>
  <si>
    <t>SINGLE SOCKET, CONTINENTAL EUROPEAN, 250V - WHITE</t>
  </si>
  <si>
    <t>88011020</t>
  </si>
  <si>
    <t>R4T</t>
  </si>
  <si>
    <t>SINGLE SOCKET, UNIVERSAL RECEPTACLE, 115V - BLACK</t>
  </si>
  <si>
    <t>WONPRO</t>
  </si>
  <si>
    <t>SINGLE SOCKET, UNIVERSAL RECEPTACLE, 250V - BLACK</t>
  </si>
  <si>
    <t>99K31.01</t>
  </si>
  <si>
    <t>MAGNET, RARE EARTH, .250 DIA X .100 THK</t>
  </si>
  <si>
    <t>LEE VALLEY</t>
  </si>
  <si>
    <t>99K32.03</t>
  </si>
  <si>
    <t>MAGNET, RARE EARTH, .375 DIA X .100 THK</t>
  </si>
  <si>
    <t>99K31.03</t>
  </si>
  <si>
    <t>MAGNET, RARE EARTH, .500 DIA X .125 THK</t>
  </si>
  <si>
    <t>99K32.11</t>
  </si>
  <si>
    <t>MAGNET, RARE EARTH, .750 DIA X .125 THK</t>
  </si>
  <si>
    <t>99K32.13</t>
  </si>
  <si>
    <t>MAGNET, RARE EARTH, 1.000 DIA X .125 THK</t>
  </si>
  <si>
    <t>FILL IN ID PLACARD PER B611087.</t>
  </si>
  <si>
    <t>C.</t>
  </si>
  <si>
    <t>PANEL NOTES (Examples)</t>
  </si>
  <si>
    <t>[Panels listed below ; 3.0# nomex core w/ white tedlar both faces]</t>
  </si>
  <si>
    <t>See CDP500-05 (Sandwich Panel Numbering System) for other panels</t>
  </si>
  <si>
    <t>Panel CDMxxx-x2 : Vender Code 2 indicates Fiberite/Cytec phenolic skins used</t>
  </si>
  <si>
    <t>Panel CDMxxx-x0 : Code 0 indicates Vendor not specified</t>
  </si>
  <si>
    <t>MAKE FROM PANEL CDM025-32 ( .12 THK)</t>
  </si>
  <si>
    <t>CDPA081</t>
  </si>
  <si>
    <t>1 ply</t>
  </si>
  <si>
    <t>MAKE FROM PANEL CDM031-32 ( .25 THK)</t>
  </si>
  <si>
    <t>CD236</t>
  </si>
  <si>
    <t>MAKE FROM PANEL CDM081-32 ( .25 THK)</t>
  </si>
  <si>
    <t>CD280</t>
  </si>
  <si>
    <t>1.5 ply</t>
  </si>
  <si>
    <t>MAKE FROM PANEL CDM031-62 ( .25 THK)</t>
  </si>
  <si>
    <t>CD255</t>
  </si>
  <si>
    <t>2 ply</t>
  </si>
  <si>
    <t>MAKE FROM PANEL CDM031-92 ( .25 THK)</t>
  </si>
  <si>
    <t>CD174</t>
  </si>
  <si>
    <t>3 ply</t>
  </si>
  <si>
    <t>MAKE FROM PANEL CDM043-32 ( .38 THK)</t>
  </si>
  <si>
    <t>CD188</t>
  </si>
  <si>
    <t>MAKE FROM PANEL CDM089-32 ( .37 THK)</t>
  </si>
  <si>
    <t>CD240</t>
  </si>
  <si>
    <t>MAKE FROM PANEL CDM041-62 ( .375 THK)</t>
  </si>
  <si>
    <t>CD225</t>
  </si>
  <si>
    <t>MAKE FROM PANEL CDM050-32 ( .50 THK)</t>
  </si>
  <si>
    <t>CD176</t>
  </si>
  <si>
    <t>MAKE FROM PANEL CDM099-32 ( .50 THK)</t>
  </si>
  <si>
    <t>CD207</t>
  </si>
  <si>
    <t>MAKE FROM PANEL CDM050-62 ( .50 THK)</t>
  </si>
  <si>
    <t>CD172</t>
  </si>
  <si>
    <t>MAKE FROM PANEL CDM052-00 ( .52 THK), for Floor or Base</t>
  </si>
  <si>
    <t>CD177</t>
  </si>
  <si>
    <t>4x2 ply</t>
  </si>
  <si>
    <t>MAKE FROM PANEL CDM050-92 ( .50 THK)</t>
  </si>
  <si>
    <t>CDPA012</t>
  </si>
  <si>
    <t>MAKE FROM PANEL CDM105-32 ( .75 THK)</t>
  </si>
  <si>
    <t>CDPA051</t>
  </si>
  <si>
    <t>MAKE FROM PANEL CDM058-62 ( .75 THK)</t>
  </si>
  <si>
    <t>CD231</t>
  </si>
  <si>
    <t>MAKE FROM PANEL CDM058-92 ( .75 THK)</t>
  </si>
  <si>
    <t>CD173</t>
  </si>
  <si>
    <t>MAKE FROM PANEL CDM058-00 ( .75 THK), for Floor or Base</t>
  </si>
  <si>
    <t>CD178</t>
  </si>
  <si>
    <t>MAKE FROM PANEL CDM065-32 ( 1.00 THK)</t>
  </si>
  <si>
    <t>CD209</t>
  </si>
  <si>
    <t>MAKE FROM PANEL CDM065-62 ( 1.00 THK)</t>
  </si>
  <si>
    <t>CD182</t>
  </si>
  <si>
    <t>MAKE FROM PANEL CDM065-92 ( 1.00 THK)</t>
  </si>
  <si>
    <t>CD184</t>
  </si>
  <si>
    <t>[Panels listed below ; 4.5# Al Aly 5056 Core]</t>
  </si>
  <si>
    <t>MAKE FROM PANEL CDM184-72 ( .50 THK)</t>
  </si>
  <si>
    <t>.030(2024-T3)</t>
  </si>
  <si>
    <t>MAKE FROM PANEL CDM187-12 ( .75 THK)</t>
  </si>
  <si>
    <t>CDPA059</t>
  </si>
  <si>
    <t>.020(2024-T3)</t>
  </si>
  <si>
    <t>MAKE FROM PANEL CDM187-72 ( .75 THK)</t>
  </si>
  <si>
    <t>MAKE FROM PANEL CDM189-72 ( 1.00 THK)</t>
  </si>
  <si>
    <t>MAKE FROM PANEL CDM189-52 ( 1.00 THK)</t>
  </si>
  <si>
    <t>CDPA004</t>
  </si>
  <si>
    <t>.050(2024-T3)</t>
  </si>
  <si>
    <t>MAKE FROM PANEL CDM192-72 ( 1.50 THK)</t>
  </si>
  <si>
    <t>Notes</t>
  </si>
  <si>
    <t>Common usage</t>
  </si>
  <si>
    <t>MAKE FROM PANEL CDM136-10B (.350 THK)</t>
  </si>
  <si>
    <t>CDM136-10B</t>
  </si>
  <si>
    <t>CORE</t>
  </si>
  <si>
    <t>Nomex</t>
  </si>
  <si>
    <t>Al Aly 5056 Core</t>
  </si>
  <si>
    <t>MATL SPEC</t>
  </si>
  <si>
    <t>BONDED</t>
  </si>
  <si>
    <t>JKLHSDJKFHSDJKJDSF</t>
  </si>
  <si>
    <t>B4718GAFL</t>
  </si>
  <si>
    <t>B482473-513</t>
  </si>
  <si>
    <t>B478004-519</t>
  </si>
  <si>
    <t>DRAWER ASSY MISC (UPPER SECTION)</t>
  </si>
  <si>
    <t>TRACK, UPPER (SLIDING DOOR)</t>
  </si>
  <si>
    <t>TRACK, LOWER (SLIDING DOOR)</t>
  </si>
  <si>
    <t>SLIDING DOOR INSTL</t>
  </si>
  <si>
    <t>B473531-527C</t>
  </si>
  <si>
    <t>LENS (CRYSTAL COMPARTMENT)</t>
  </si>
  <si>
    <t>INSTL, MONITOR (10.6 TOUCHSCREEN)</t>
  </si>
  <si>
    <t>LENS (WORK/NIGHT LIGHT)</t>
  </si>
  <si>
    <t xml:space="preserve">bond per </t>
  </si>
  <si>
    <t>B4718GAED-101</t>
  </si>
  <si>
    <t>B4718GAED-101-RFD</t>
  </si>
  <si>
    <t>B6114GAED-501</t>
  </si>
  <si>
    <t>B611085-93</t>
  </si>
  <si>
    <t>ACCENT LIGHT</t>
  </si>
  <si>
    <t>ELECTRICAL OUTLET (REF)</t>
  </si>
  <si>
    <t>GROUP.1_B4718GAED-101</t>
  </si>
  <si>
    <t>NAS514P1032-16P</t>
  </si>
  <si>
    <t>B472289-527</t>
  </si>
  <si>
    <t>B4726GAED-501</t>
  </si>
  <si>
    <t>B471010-509-RFD4</t>
  </si>
  <si>
    <t>B471026-501</t>
  </si>
  <si>
    <t>B471356-CFG4</t>
  </si>
  <si>
    <t>B4736GAED-501</t>
  </si>
  <si>
    <t>Row Labels</t>
  </si>
  <si>
    <t>Grand Total</t>
  </si>
  <si>
    <t>Count of QTY REQD</t>
  </si>
  <si>
    <t>B4718GAED-101-RFD.CATProduct</t>
  </si>
  <si>
    <t>B4718GAED-101.CATProduct</t>
  </si>
  <si>
    <t>B471229-501.CATProduct</t>
  </si>
  <si>
    <t>B611085-93.CATPart</t>
  </si>
  <si>
    <t>B611085-25.CATPart</t>
  </si>
  <si>
    <t>B611085-3.CATPart</t>
  </si>
  <si>
    <t>B611095-3.CATPart</t>
  </si>
  <si>
    <t>2LA 455 740-62.CATPart</t>
  </si>
  <si>
    <t>2LA 455 740-56.CATPart</t>
  </si>
  <si>
    <t>8ES 455 618-00.CATPart</t>
  </si>
  <si>
    <t>2LA 455 615-00.CATPart</t>
  </si>
  <si>
    <t>B611085-5.CATPart</t>
  </si>
  <si>
    <t>2LA 455 555-10.CATPart</t>
  </si>
  <si>
    <t>RU4T.CATPart</t>
  </si>
  <si>
    <t>2600-1-31.CATPart</t>
  </si>
  <si>
    <t>AD32BS.CATPart</t>
  </si>
  <si>
    <t>NAS514P1032-16P.CATPart</t>
  </si>
  <si>
    <t>NAS603-11P.CATPart</t>
  </si>
  <si>
    <t>NAS1149F0332P.CATPart</t>
  </si>
  <si>
    <t>B472289-527.CATProduct</t>
  </si>
  <si>
    <t>B4726GAED-501.CATProduct</t>
  </si>
  <si>
    <t>PFG500104-401.CATProduct</t>
  </si>
  <si>
    <t>B471172-503.CATProduct</t>
  </si>
  <si>
    <t>B471010-509-RFD4.CATPart</t>
  </si>
  <si>
    <t>B482476-1.CATPart</t>
  </si>
  <si>
    <t>B611086-1.CATPart</t>
  </si>
  <si>
    <t>B471026-501.CATProduct</t>
  </si>
  <si>
    <t>B471356-CFG4.CATProduct</t>
  </si>
  <si>
    <t>B4736GAED-501.CATProduct</t>
  </si>
  <si>
    <t>38197195.CATPart</t>
  </si>
  <si>
    <t>Column1</t>
  </si>
  <si>
    <t>ELECTRICAL INSTL</t>
  </si>
  <si>
    <t>HARDWARE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</si>
</sst>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43" formatCode="_(* #,##0.00_);_(* \(#,##0.00\);_(* &quot;-&quot;??_);_(@_)"/>
  </numFmts>
  <fonts count="26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indexed="8"/>
      <name val="Calibri"/>
      <family val="2"/>
      <scheme val="minor"/>
    </font>
    <font>
      <sz val="11"/>
      <color indexed="10"/>
      <name val="Calibri"/>
      <family val="2"/>
      <scheme val="minor"/>
    </font>
    <font>
      <sz val="11"/>
      <color indexed="12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theme="1"/>
      <name val="Cambria"/>
      <family val="1"/>
      <scheme val="major"/>
    </font>
    <font>
      <i/>
      <sz val="11"/>
      <color rgb="FF7F7F7F"/>
      <name val="Calibri"/>
      <family val="2"/>
      <scheme val="minor"/>
    </font>
    <font>
      <sz val="12"/>
      <color theme="1"/>
      <name val="Cambria"/>
      <family val="1"/>
      <scheme val="major"/>
    </font>
    <font>
      <b/>
      <i/>
      <sz val="11"/>
      <color rgb="FF7F7F7F"/>
      <name val="Calibri"/>
      <family val="2"/>
      <scheme val="minor"/>
    </font>
    <font>
      <sz val="12"/>
      <color theme="1"/>
      <name val="Cambria"/>
      <family val="1"/>
      <scheme val="major"/>
    </font>
    <font>
      <sz val="11"/>
      <color theme="1"/>
      <name val="Cambria"/>
      <family val="1"/>
      <scheme val="major"/>
    </font>
    <font>
      <sz val="11"/>
      <color theme="0"/>
      <name val="Calibri"/>
      <family val="2"/>
      <scheme val="minor"/>
    </font>
    <font>
      <u/>
      <sz val="12"/>
      <color theme="0"/>
      <name val="Cambria"/>
      <family val="1"/>
      <scheme val="major"/>
    </font>
    <font>
      <b/>
      <sz val="11"/>
      <color theme="0"/>
      <name val="Cambria"/>
      <family val="1"/>
      <scheme val="major"/>
    </font>
    <font>
      <b/>
      <sz val="11"/>
      <color theme="3"/>
      <name val="Cambria"/>
      <family val="1"/>
      <scheme val="major"/>
    </font>
    <font>
      <u/>
      <sz val="12.1"/>
      <color theme="10"/>
      <name val="Calibri"/>
      <family val="2"/>
    </font>
    <font>
      <sz val="10"/>
      <name val="Arial"/>
      <family val="2"/>
    </font>
    <font>
      <sz val="11"/>
      <color indexed="8"/>
      <name val="Calibri"/>
      <family val="2"/>
    </font>
    <font>
      <b/>
      <sz val="11"/>
      <color theme="1"/>
      <name val="Calibri"/>
      <family val="2"/>
      <scheme val="minor"/>
    </font>
    <font>
      <sz val="11"/>
      <color rgb="FFFFFF80"/>
      <name val="Calibri"/>
      <family val="2"/>
      <scheme val="minor"/>
    </font>
    <font>
      <sz val="9"/>
      <color indexed="81"/>
      <name val="Tahoma"/>
      <family val="2"/>
    </font>
    <font>
      <b/>
      <sz val="11"/>
      <color theme="0"/>
      <name val="Cambria"/>
      <scheme val="major"/>
    </font>
  </fonts>
  <fills count="14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4"/>
        <bgColor theme="4"/>
      </patternFill>
    </fill>
    <fill>
      <patternFill patternType="solid">
        <fgColor theme="1"/>
        <bgColor theme="1"/>
      </patternFill>
    </fill>
    <fill>
      <patternFill patternType="solid">
        <fgColor theme="4" tint="0.79998168889431442"/>
        <bgColor indexed="65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theme="4"/>
      </patternFill>
    </fill>
    <fill>
      <patternFill patternType="solid">
        <fgColor rgb="FF00B050"/>
        <bgColor indexed="64"/>
      </patternFill>
    </fill>
    <fill>
      <patternFill patternType="solid">
        <fgColor rgb="FFFFFF80"/>
        <bgColor indexed="64"/>
      </patternFill>
    </fill>
    <fill>
      <patternFill patternType="solid">
        <fgColor rgb="FF00004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0000FF"/>
        <bgColor indexed="64"/>
      </patternFill>
    </fill>
  </fills>
  <borders count="12">
    <border>
      <left/>
      <right/>
      <top/>
      <bottom/>
      <diagonal/>
    </border>
    <border>
      <left style="thin">
        <color theme="1"/>
      </left>
      <right/>
      <top/>
      <bottom style="thin">
        <color theme="1"/>
      </bottom>
      <diagonal/>
    </border>
    <border>
      <left/>
      <right style="thin">
        <color theme="1"/>
      </right>
      <top/>
      <bottom style="thin">
        <color theme="1"/>
      </bottom>
      <diagonal/>
    </border>
    <border>
      <left style="thin">
        <color theme="4" tint="0.39997558519241921"/>
      </left>
      <right/>
      <top/>
      <bottom style="thin">
        <color theme="4" tint="0.39997558519241921"/>
      </bottom>
      <diagonal/>
    </border>
    <border>
      <left/>
      <right/>
      <top/>
      <bottom style="thin">
        <color theme="4" tint="0.39997558519241921"/>
      </bottom>
      <diagonal/>
    </border>
    <border>
      <left/>
      <right style="thin">
        <color theme="4" tint="0.39997558519241921"/>
      </right>
      <top/>
      <bottom style="thin">
        <color theme="4" tint="0.39997558519241921"/>
      </bottom>
      <diagonal/>
    </border>
    <border>
      <left/>
      <right/>
      <top style="thin">
        <color theme="1"/>
      </top>
      <bottom/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/>
      <top/>
      <bottom style="thin">
        <color theme="1"/>
      </bottom>
      <diagonal/>
    </border>
  </borders>
  <cellStyleXfs count="13">
    <xf numFmtId="0" fontId="0" fillId="0" borderId="0"/>
    <xf numFmtId="0" fontId="6" fillId="0" borderId="7" applyNumberFormat="0" applyFill="0" applyAlignment="0" applyProtection="0"/>
    <xf numFmtId="0" fontId="5" fillId="5" borderId="0" applyNumberFormat="0" applyBorder="0" applyAlignment="0" applyProtection="0"/>
    <xf numFmtId="0" fontId="7" fillId="6" borderId="8" applyNumberFormat="0" applyAlignment="0" applyProtection="0"/>
    <xf numFmtId="0" fontId="8" fillId="7" borderId="8" applyNumberFormat="0" applyAlignment="0" applyProtection="0"/>
    <xf numFmtId="0" fontId="10" fillId="0" borderId="0" applyNumberFormat="0" applyFill="0" applyBorder="0" applyAlignment="0" applyProtection="0"/>
    <xf numFmtId="0" fontId="15" fillId="8" borderId="0" applyNumberFormat="0" applyBorder="0" applyAlignment="0" applyProtection="0"/>
    <xf numFmtId="0" fontId="19" fillId="0" borderId="0" applyNumberFormat="0" applyFill="0" applyBorder="0" applyAlignment="0" applyProtection="0">
      <alignment vertical="top"/>
      <protection locked="0"/>
    </xf>
    <xf numFmtId="43" fontId="20" fillId="0" borderId="0" applyFont="0" applyFill="0" applyBorder="0" applyAlignment="0" applyProtection="0"/>
    <xf numFmtId="0" fontId="20" fillId="0" borderId="0"/>
    <xf numFmtId="0" fontId="21" fillId="0" borderId="0"/>
    <xf numFmtId="0" fontId="20" fillId="0" borderId="0"/>
    <xf numFmtId="9" fontId="21" fillId="0" borderId="0" applyFont="0" applyFill="0" applyBorder="0" applyAlignment="0" applyProtection="0"/>
  </cellStyleXfs>
  <cellXfs count="56">
    <xf numFmtId="0" fontId="0" fillId="0" borderId="0" xfId="0"/>
    <xf numFmtId="0" fontId="1" fillId="4" borderId="0" xfId="0" applyFont="1" applyFill="1" applyBorder="1" applyAlignment="1">
      <alignment horizontal="center" vertical="center"/>
    </xf>
    <xf numFmtId="0" fontId="2" fillId="0" borderId="0" xfId="0" applyFont="1" applyBorder="1" applyAlignment="1">
      <alignment vertical="center"/>
    </xf>
    <xf numFmtId="0" fontId="0" fillId="0" borderId="0" xfId="0" applyFont="1" applyBorder="1" applyAlignment="1">
      <alignment vertical="center"/>
    </xf>
    <xf numFmtId="0" fontId="3" fillId="0" borderId="0" xfId="0" applyFont="1" applyBorder="1" applyAlignment="1">
      <alignment vertical="center"/>
    </xf>
    <xf numFmtId="0" fontId="2" fillId="0" borderId="0" xfId="0" applyFont="1" applyBorder="1" applyAlignment="1">
      <alignment vertical="center" wrapText="1"/>
    </xf>
    <xf numFmtId="0" fontId="3" fillId="0" borderId="0" xfId="0" applyFont="1" applyBorder="1" applyAlignment="1">
      <alignment vertical="center" wrapText="1"/>
    </xf>
    <xf numFmtId="0" fontId="3" fillId="0" borderId="6" xfId="0" applyFont="1" applyBorder="1" applyAlignment="1">
      <alignment vertical="center"/>
    </xf>
    <xf numFmtId="0" fontId="4" fillId="0" borderId="0" xfId="0" applyFont="1"/>
    <xf numFmtId="0" fontId="3" fillId="0" borderId="0" xfId="0" applyFont="1"/>
    <xf numFmtId="0" fontId="2" fillId="0" borderId="0" xfId="0" applyFont="1"/>
    <xf numFmtId="0" fontId="3" fillId="0" borderId="0" xfId="0" applyFont="1" applyAlignment="1">
      <alignment wrapText="1"/>
    </xf>
    <xf numFmtId="0" fontId="2" fillId="0" borderId="0" xfId="0" applyFont="1" applyAlignment="1">
      <alignment wrapText="1"/>
    </xf>
    <xf numFmtId="11" fontId="2" fillId="0" borderId="0" xfId="0" applyNumberFormat="1" applyFont="1"/>
    <xf numFmtId="11" fontId="3" fillId="0" borderId="0" xfId="0" applyNumberFormat="1" applyFont="1"/>
    <xf numFmtId="22" fontId="0" fillId="0" borderId="0" xfId="0" applyNumberFormat="1"/>
    <xf numFmtId="0" fontId="0" fillId="0" borderId="0" xfId="0" applyAlignment="1">
      <alignment horizontal="center" vertical="center"/>
    </xf>
    <xf numFmtId="0" fontId="7" fillId="6" borderId="8" xfId="3"/>
    <xf numFmtId="0" fontId="8" fillId="7" borderId="8" xfId="4"/>
    <xf numFmtId="0" fontId="9" fillId="0" borderId="0" xfId="0" applyFont="1" applyAlignment="1">
      <alignment horizontal="center" vertical="center"/>
    </xf>
    <xf numFmtId="0" fontId="7" fillId="6" borderId="8" xfId="3" applyAlignment="1">
      <alignment horizontal="center" vertical="center"/>
    </xf>
    <xf numFmtId="0" fontId="11" fillId="0" borderId="0" xfId="0" applyFont="1"/>
    <xf numFmtId="0" fontId="12" fillId="0" borderId="0" xfId="5" applyFont="1" applyAlignment="1">
      <alignment horizontal="center"/>
    </xf>
    <xf numFmtId="0" fontId="7" fillId="6" borderId="8" xfId="3" applyAlignment="1">
      <alignment horizontal="center"/>
    </xf>
    <xf numFmtId="0" fontId="13" fillId="0" borderId="0" xfId="0" applyFont="1"/>
    <xf numFmtId="0" fontId="14" fillId="0" borderId="0" xfId="0" applyFont="1" applyAlignment="1">
      <alignment horizontal="center" vertical="center"/>
    </xf>
    <xf numFmtId="0" fontId="0" fillId="5" borderId="0" xfId="2" applyFont="1"/>
    <xf numFmtId="0" fontId="16" fillId="8" borderId="0" xfId="6" applyFont="1"/>
    <xf numFmtId="0" fontId="17" fillId="2" borderId="1" xfId="0" applyFont="1" applyFill="1" applyBorder="1" applyAlignment="1">
      <alignment horizontal="center" vertical="center" wrapText="1"/>
    </xf>
    <xf numFmtId="0" fontId="17" fillId="2" borderId="2" xfId="0" applyFont="1" applyFill="1" applyBorder="1" applyAlignment="1">
      <alignment horizontal="center" vertical="center" wrapText="1"/>
    </xf>
    <xf numFmtId="0" fontId="17" fillId="3" borderId="3" xfId="0" applyFont="1" applyFill="1" applyBorder="1" applyAlignment="1">
      <alignment horizontal="center" vertical="center" wrapText="1"/>
    </xf>
    <xf numFmtId="0" fontId="17" fillId="3" borderId="4" xfId="0" applyFont="1" applyFill="1" applyBorder="1" applyAlignment="1">
      <alignment horizontal="center" vertical="center" wrapText="1"/>
    </xf>
    <xf numFmtId="0" fontId="17" fillId="3" borderId="5" xfId="0" applyFont="1" applyFill="1" applyBorder="1" applyAlignment="1">
      <alignment horizontal="center" vertical="center" wrapText="1"/>
    </xf>
    <xf numFmtId="0" fontId="18" fillId="0" borderId="7" xfId="1" applyFont="1" applyAlignment="1">
      <alignment horizontal="center" vertical="center"/>
    </xf>
    <xf numFmtId="0" fontId="9" fillId="0" borderId="0" xfId="0" applyFont="1"/>
    <xf numFmtId="0" fontId="9" fillId="0" borderId="0" xfId="0" applyFont="1" applyBorder="1"/>
    <xf numFmtId="0" fontId="11" fillId="0" borderId="0" xfId="0" applyFont="1" applyAlignment="1">
      <alignment horizontal="center"/>
    </xf>
    <xf numFmtId="0" fontId="11" fillId="0" borderId="0" xfId="0" applyFont="1" applyAlignment="1">
      <alignment horizontal="center" vertical="center"/>
    </xf>
    <xf numFmtId="49" fontId="1" fillId="9" borderId="10" xfId="0" applyNumberFormat="1" applyFont="1" applyFill="1" applyBorder="1" applyAlignment="1">
      <alignment horizontal="center" vertical="center"/>
    </xf>
    <xf numFmtId="0" fontId="1" fillId="9" borderId="10" xfId="0" applyFont="1" applyFill="1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0" fillId="0" borderId="0" xfId="0" applyBorder="1"/>
    <xf numFmtId="0" fontId="0" fillId="0" borderId="0" xfId="0" applyAlignment="1">
      <alignment vertical="center" wrapText="1"/>
    </xf>
    <xf numFmtId="0" fontId="0" fillId="0" borderId="0" xfId="0" applyAlignment="1">
      <alignment vertical="center"/>
    </xf>
    <xf numFmtId="0" fontId="0" fillId="0" borderId="0" xfId="0" applyBorder="1" applyAlignment="1">
      <alignment vertical="center"/>
    </xf>
    <xf numFmtId="0" fontId="23" fillId="12" borderId="0" xfId="0" applyFont="1" applyFill="1" applyBorder="1" applyAlignment="1">
      <alignment vertical="center" wrapText="1"/>
    </xf>
    <xf numFmtId="0" fontId="23" fillId="11" borderId="0" xfId="0" applyFont="1" applyFill="1" applyAlignment="1">
      <alignment vertical="center" wrapText="1"/>
    </xf>
    <xf numFmtId="0" fontId="22" fillId="10" borderId="0" xfId="0" applyFont="1" applyFill="1" applyAlignment="1">
      <alignment vertical="center" wrapText="1"/>
    </xf>
    <xf numFmtId="0" fontId="23" fillId="13" borderId="0" xfId="0" applyFont="1" applyFill="1" applyAlignment="1">
      <alignment vertical="center" wrapText="1"/>
    </xf>
    <xf numFmtId="0" fontId="0" fillId="0" borderId="0" xfId="0" pivotButton="1"/>
    <xf numFmtId="0" fontId="0" fillId="0" borderId="0" xfId="0" applyAlignment="1">
      <alignment horizontal="left"/>
    </xf>
    <xf numFmtId="14" fontId="0" fillId="0" borderId="0" xfId="0" applyNumberFormat="1" applyAlignment="1">
      <alignment horizontal="left"/>
    </xf>
    <xf numFmtId="0" fontId="0" fillId="0" borderId="0" xfId="0" applyNumberFormat="1"/>
    <xf numFmtId="0" fontId="0" fillId="0" borderId="0" xfId="0" applyAlignment="1">
      <alignment wrapText="1"/>
    </xf>
    <xf numFmtId="0" fontId="25" fillId="2" borderId="11" xfId="0" applyFont="1" applyFill="1" applyBorder="1" applyAlignment="1">
      <alignment horizontal="center" vertical="center" wrapText="1"/>
    </xf>
    <xf numFmtId="0" fontId="1" fillId="9" borderId="9" xfId="0" applyFont="1" applyFill="1" applyBorder="1" applyAlignment="1">
      <alignment horizontal="center" vertical="center"/>
    </xf>
  </cellXfs>
  <cellStyles count="13">
    <cellStyle name="20% - Accent1" xfId="2" builtinId="30"/>
    <cellStyle name="Accent1" xfId="6" builtinId="29"/>
    <cellStyle name="Calculation" xfId="4" builtinId="22"/>
    <cellStyle name="Comma 2" xfId="8"/>
    <cellStyle name="Explanatory Text" xfId="5" builtinId="53"/>
    <cellStyle name="Heading 3" xfId="1" builtinId="18"/>
    <cellStyle name="Hyperlink 2" xfId="7"/>
    <cellStyle name="Input" xfId="3" builtinId="20"/>
    <cellStyle name="Normal" xfId="0" builtinId="0"/>
    <cellStyle name="Normal 2" xfId="9"/>
    <cellStyle name="Normal 3" xfId="10"/>
    <cellStyle name="Normal 4" xfId="11"/>
    <cellStyle name="Percent 2" xfId="12"/>
  </cellStyles>
  <dxfs count="57"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mbria"/>
        <scheme val="major"/>
      </font>
    </dxf>
    <dxf>
      <font>
        <strike val="0"/>
        <outline val="0"/>
        <shadow val="0"/>
        <u val="none"/>
        <vertAlign val="baseline"/>
        <sz val="11"/>
        <color theme="1"/>
        <name val="Cambria"/>
        <scheme val="major"/>
      </font>
    </dxf>
    <dxf>
      <font>
        <strike val="0"/>
        <outline val="0"/>
        <shadow val="0"/>
        <u val="none"/>
        <vertAlign val="baseline"/>
        <sz val="11"/>
        <color theme="1"/>
        <name val="Cambria"/>
        <scheme val="major"/>
      </font>
    </dxf>
    <dxf>
      <font>
        <strike val="0"/>
        <outline val="0"/>
        <shadow val="0"/>
        <u val="none"/>
        <vertAlign val="baseline"/>
        <sz val="12"/>
        <color theme="1"/>
        <name val="Cambria"/>
        <scheme val="major"/>
      </font>
    </dxf>
    <dxf>
      <font>
        <b val="0"/>
        <i val="0"/>
        <strike val="0"/>
        <condense val="0"/>
        <extend val="0"/>
        <outline val="0"/>
        <shadow val="0"/>
        <u/>
        <vertAlign val="baseline"/>
        <sz val="12"/>
        <color theme="0"/>
        <name val="Cambria"/>
        <scheme val="major"/>
      </font>
    </dxf>
    <dxf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theme="1"/>
        <name val="Cambria"/>
        <scheme val="major"/>
      </font>
    </dxf>
    <dxf>
      <font>
        <strike val="0"/>
        <outline val="0"/>
        <shadow val="0"/>
        <u val="none"/>
        <vertAlign val="baseline"/>
        <sz val="12"/>
        <color theme="1"/>
        <name val="Cambria"/>
        <scheme val="major"/>
      </font>
    </dxf>
    <dxf>
      <font>
        <strike val="0"/>
        <outline val="0"/>
        <shadow val="0"/>
        <u val="none"/>
        <vertAlign val="baseline"/>
        <sz val="12"/>
        <color theme="1"/>
        <name val="Cambria"/>
        <scheme val="major"/>
      </font>
    </dxf>
    <dxf>
      <font>
        <strike val="0"/>
        <outline val="0"/>
        <shadow val="0"/>
        <u val="none"/>
        <vertAlign val="baseline"/>
        <sz val="12"/>
        <color theme="1"/>
        <name val="Cambria"/>
        <scheme val="major"/>
      </font>
    </dxf>
    <dxf>
      <font>
        <strike val="0"/>
        <outline val="0"/>
        <shadow val="0"/>
        <u val="none"/>
        <vertAlign val="baseline"/>
        <sz val="12"/>
        <color theme="1"/>
        <name val="Cambria"/>
        <scheme val="major"/>
      </font>
    </dxf>
    <dxf>
      <font>
        <strike val="0"/>
        <outline val="0"/>
        <shadow val="0"/>
        <u val="none"/>
        <vertAlign val="baseline"/>
        <sz val="12"/>
        <color theme="1"/>
        <name val="Cambria"/>
        <scheme val="major"/>
      </font>
    </dxf>
    <dxf>
      <font>
        <strike val="0"/>
        <outline val="0"/>
        <shadow val="0"/>
        <u val="none"/>
        <vertAlign val="baseline"/>
        <sz val="11"/>
        <color theme="1"/>
        <name val="Cambria"/>
        <scheme val="major"/>
      </font>
      <alignment horizontal="center" vertical="center" textRotation="0" wrapText="0" indent="0" justifyLastLine="0" shrinkToFit="0" readingOrder="0"/>
    </dxf>
    <dxf>
      <border outline="0">
        <top style="medium">
          <color indexed="64"/>
        </top>
      </border>
    </dxf>
    <dxf>
      <border outline="0">
        <bottom style="medium">
          <color indexed="64"/>
        </bottom>
      </border>
    </dxf>
    <dxf>
      <alignment horizontal="center" vertical="center" textRotation="0" wrapText="0" indent="0" justifyLastLine="0" shrinkToFit="0" readingOrder="0"/>
    </dxf>
    <dxf>
      <alignment horizontal="general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border outline="0">
        <top style="thin">
          <color theme="4" tint="0.39997558519241921"/>
        </top>
      </border>
    </dxf>
    <dxf>
      <alignment horizontal="general" vertical="center" textRotation="0" wrapText="1" indent="0" justifyLastLine="0" shrinkToFit="0" readingOrder="0"/>
    </dxf>
    <dxf>
      <border outline="0"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mbria"/>
        <scheme val="major"/>
      </font>
      <fill>
        <patternFill patternType="solid">
          <fgColor theme="4"/>
          <bgColor theme="4"/>
        </patternFill>
      </fill>
      <alignment horizontal="center" vertical="center" textRotation="0" wrapText="1" indent="0" justifyLastLine="0" shrinkToFit="0" readingOrder="0"/>
    </dxf>
    <dxf>
      <alignment horizontal="general" vertical="bottom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border outline="0">
        <top style="thin">
          <color theme="1"/>
        </top>
      </border>
    </dxf>
    <dxf>
      <alignment horizontal="general" vertical="bottom" textRotation="0" wrapText="1" indent="0" justifyLastLine="0" shrinkToFit="0" readingOrder="0"/>
    </dxf>
    <dxf>
      <border outline="0">
        <bottom style="thin">
          <color theme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mbria"/>
        <scheme val="major"/>
      </font>
      <fill>
        <patternFill patternType="solid">
          <fgColor indexed="64"/>
          <bgColor theme="1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10"/>
        <name val="Calibri"/>
        <scheme val="minor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10"/>
        <name val="Calibri"/>
        <scheme val="minor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10"/>
        <name val="Calibri"/>
        <scheme val="minor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10"/>
        <name val="Calibri"/>
        <scheme val="minor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10"/>
        <name val="Calibri"/>
        <scheme val="minor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10"/>
        <name val="Calibri"/>
        <scheme val="minor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10"/>
        <name val="Calibri"/>
        <scheme val="minor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10"/>
        <name val="Calibri"/>
        <scheme val="minor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10"/>
        <name val="Calibri"/>
        <scheme val="minor"/>
      </font>
      <alignment horizontal="general" vertical="center" textRotation="0" wrapText="0" indent="0" justifyLastLine="0" shrinkToFit="0" readingOrder="0"/>
    </dxf>
    <dxf>
      <border outline="0">
        <left style="thin">
          <color theme="1"/>
        </left>
        <right style="thin">
          <color theme="1"/>
        </right>
        <top style="thin">
          <color theme="1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10"/>
        <name val="Calibri"/>
        <scheme val="minor"/>
      </font>
      <alignment horizontal="general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theme="1"/>
          <bgColor theme="1"/>
        </patternFill>
      </fill>
      <alignment horizontal="center" vertical="center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externalLink" Target="externalLinks/externalLink2.xml"/><Relationship Id="rId18" Type="http://schemas.openxmlformats.org/officeDocument/2006/relationships/connections" Target="connections.xml"/><Relationship Id="rId3" Type="http://schemas.openxmlformats.org/officeDocument/2006/relationships/worksheet" Target="worksheets/sheet3.xml"/><Relationship Id="rId21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externalLink" Target="externalLinks/externalLink1.xml"/><Relationship Id="rId17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pivotCacheDefinition" Target="pivotCache/pivotCacheDefinition1.xml"/><Relationship Id="rId20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externalLink" Target="externalLinks/externalLink4.xml"/><Relationship Id="rId10" Type="http://schemas.openxmlformats.org/officeDocument/2006/relationships/worksheet" Target="worksheets/sheet10.xml"/><Relationship Id="rId19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externalLink" Target="externalLinks/externalLink3.xml"/><Relationship Id="rId22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activeX1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79176FB0-B7F2-11CE-97EF-00AA006D2776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79176FB0-B7F2-11CE-97EF-00AA006D2776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1.pn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8" Type="http://schemas.openxmlformats.org/officeDocument/2006/relationships/image" Target="../media/image2.emf"/><Relationship Id="rId3" Type="http://schemas.openxmlformats.org/officeDocument/2006/relationships/image" Target="../media/image7.emf"/><Relationship Id="rId7" Type="http://schemas.openxmlformats.org/officeDocument/2006/relationships/image" Target="../media/image4.emf"/><Relationship Id="rId2" Type="http://schemas.openxmlformats.org/officeDocument/2006/relationships/image" Target="../media/image6.emf"/><Relationship Id="rId1" Type="http://schemas.openxmlformats.org/officeDocument/2006/relationships/image" Target="../media/image5.emf"/><Relationship Id="rId6" Type="http://schemas.openxmlformats.org/officeDocument/2006/relationships/image" Target="../media/image3.emf"/><Relationship Id="rId5" Type="http://schemas.openxmlformats.org/officeDocument/2006/relationships/image" Target="../media/image9.emf"/><Relationship Id="rId4" Type="http://schemas.openxmlformats.org/officeDocument/2006/relationships/image" Target="../media/image8.emf"/><Relationship Id="rId9" Type="http://schemas.openxmlformats.org/officeDocument/2006/relationships/image" Target="../media/image10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5.vml.rels><?xml version="1.0" encoding="UTF-8" standalone="yes"?>
<Relationships xmlns="http://schemas.openxmlformats.org/package/2006/relationships"><Relationship Id="rId1" Type="http://schemas.openxmlformats.org/officeDocument/2006/relationships/image" Target="../media/image12.emf"/></Relationships>
</file>

<file path=xl/drawings/_rels/vmlDrawing6.vml.rels><?xml version="1.0" encoding="UTF-8" standalone="yes"?>
<Relationships xmlns="http://schemas.openxmlformats.org/package/2006/relationships"><Relationship Id="rId1" Type="http://schemas.openxmlformats.org/officeDocument/2006/relationships/image" Target="../media/image13.emf"/></Relationships>
</file>

<file path=xl/drawings/_rels/vmlDrawing7.vml.rels><?xml version="1.0" encoding="UTF-8" standalone="yes"?>
<Relationships xmlns="http://schemas.openxmlformats.org/package/2006/relationships"><Relationship Id="rId1" Type="http://schemas.openxmlformats.org/officeDocument/2006/relationships/image" Target="../media/image14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438150</xdr:colOff>
          <xdr:row>5</xdr:row>
          <xdr:rowOff>0</xdr:rowOff>
        </xdr:from>
        <xdr:to>
          <xdr:col>11</xdr:col>
          <xdr:colOff>219075</xdr:colOff>
          <xdr:row>6</xdr:row>
          <xdr:rowOff>152400</xdr:rowOff>
        </xdr:to>
        <xdr:sp macro="" textlink="">
          <xdr:nvSpPr>
            <xdr:cNvPr id="2049" name="Image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0</xdr:colOff>
      <xdr:row>0</xdr:row>
      <xdr:rowOff>0</xdr:rowOff>
    </xdr:from>
    <xdr:ext cx="5990166" cy="876300"/>
    <xdr:sp macro="" textlink="">
      <xdr:nvSpPr>
        <xdr:cNvPr id="2" name="Rectangle 1"/>
        <xdr:cNvSpPr/>
      </xdr:nvSpPr>
      <xdr:spPr>
        <a:xfrm>
          <a:off x="0" y="0"/>
          <a:ext cx="5990166" cy="876300"/>
        </a:xfrm>
        <a:prstGeom prst="rect">
          <a:avLst/>
        </a:prstGeom>
        <a:noFill/>
      </xdr:spPr>
      <xdr:txBody>
        <a:bodyPr wrap="square" lIns="91440" tIns="45720" rIns="91440" bIns="45720">
          <a:noAutofit/>
          <a:scene3d>
            <a:camera prst="orthographicFront"/>
            <a:lightRig rig="flat" dir="tl">
              <a:rot lat="0" lon="0" rev="6600000"/>
            </a:lightRig>
          </a:scene3d>
          <a:sp3d extrusionH="25400" contourW="8890">
            <a:bevelT w="38100" h="31750"/>
            <a:contourClr>
              <a:schemeClr val="accent2">
                <a:shade val="75000"/>
              </a:schemeClr>
            </a:contourClr>
          </a:sp3d>
        </a:bodyPr>
        <a:lstStyle/>
        <a:p>
          <a:pPr algn="ctr"/>
          <a:r>
            <a:rPr lang="en-US" sz="5400" b="1" cap="none" spc="0">
              <a:ln w="11430">
                <a:solidFill>
                  <a:schemeClr val="accent1"/>
                </a:solidFill>
              </a:ln>
              <a:solidFill>
                <a:schemeClr val="tx1"/>
              </a:solidFill>
              <a:effectLst>
                <a:outerShdw blurRad="50800" dist="39000" dir="5460000" algn="tl">
                  <a:srgbClr val="000000">
                    <a:alpha val="38000"/>
                  </a:srgbClr>
                </a:outerShdw>
              </a:effectLst>
              <a:latin typeface="+mj-lt"/>
            </a:rPr>
            <a:t>Monument</a:t>
          </a:r>
        </a:p>
      </xdr:txBody>
    </xdr:sp>
    <xdr:clientData/>
  </xdr:oneCellAnchor>
  <xdr:oneCellAnchor>
    <xdr:from>
      <xdr:col>2</xdr:col>
      <xdr:colOff>344747</xdr:colOff>
      <xdr:row>5</xdr:row>
      <xdr:rowOff>142875</xdr:rowOff>
    </xdr:from>
    <xdr:ext cx="1082797" cy="904158"/>
    <xdr:sp macro="[0]!Select3D" textlink="">
      <xdr:nvSpPr>
        <xdr:cNvPr id="4" name="Rectangle 3"/>
        <xdr:cNvSpPr/>
      </xdr:nvSpPr>
      <xdr:spPr>
        <a:xfrm>
          <a:off x="2049722" y="1095375"/>
          <a:ext cx="1082797" cy="904158"/>
        </a:xfrm>
        <a:prstGeom prst="rect">
          <a:avLst/>
        </a:prstGeom>
        <a:noFill/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perspectiveHeroicExtremeLeftFacing"/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txBody>
        <a:bodyPr wrap="none" lIns="91440" tIns="45720" rIns="91440" bIns="45720">
          <a:spAutoFit/>
        </a:bodyPr>
        <a:lstStyle/>
        <a:p>
          <a:pPr algn="ctr"/>
          <a:r>
            <a:rPr lang="en-US" sz="5400" b="1" cap="none" spc="0">
              <a:ln w="17780" cmpd="sng">
                <a:solidFill>
                  <a:srgbClr val="FFFFFF"/>
                </a:solidFill>
                <a:prstDash val="solid"/>
                <a:miter lim="800000"/>
              </a:ln>
              <a:gradFill rotWithShape="1">
                <a:gsLst>
                  <a:gs pos="0">
                    <a:srgbClr val="000000">
                      <a:tint val="92000"/>
                      <a:shade val="100000"/>
                      <a:satMod val="150000"/>
                    </a:srgbClr>
                  </a:gs>
                  <a:gs pos="49000">
                    <a:srgbClr val="000000">
                      <a:tint val="89000"/>
                      <a:shade val="90000"/>
                      <a:satMod val="150000"/>
                    </a:srgbClr>
                  </a:gs>
                  <a:gs pos="50000">
                    <a:srgbClr val="000000">
                      <a:tint val="100000"/>
                      <a:shade val="75000"/>
                      <a:satMod val="150000"/>
                    </a:srgbClr>
                  </a:gs>
                  <a:gs pos="95000">
                    <a:srgbClr val="000000">
                      <a:shade val="47000"/>
                      <a:satMod val="150000"/>
                    </a:srgbClr>
                  </a:gs>
                  <a:gs pos="100000">
                    <a:srgbClr val="000000">
                      <a:shade val="39000"/>
                      <a:satMod val="150000"/>
                    </a:srgbClr>
                  </a:gs>
                </a:gsLst>
                <a:lin ang="5400000"/>
              </a:gradFill>
              <a:effectLst>
                <a:outerShdw blurRad="50800" algn="tl" rotWithShape="0">
                  <a:srgbClr val="000000"/>
                </a:outerShdw>
              </a:effectLst>
              <a:latin typeface="+mj-lt"/>
            </a:rPr>
            <a:t>3D</a:t>
          </a:r>
        </a:p>
      </xdr:txBody>
    </xdr:sp>
    <xdr:clientData/>
  </xdr:oneCellAnchor>
  <xdr:oneCellAnchor>
    <xdr:from>
      <xdr:col>6</xdr:col>
      <xdr:colOff>1659197</xdr:colOff>
      <xdr:row>4</xdr:row>
      <xdr:rowOff>152400</xdr:rowOff>
    </xdr:from>
    <xdr:ext cx="1082797" cy="904158"/>
    <xdr:sp macro="[0]!Select2D" textlink="">
      <xdr:nvSpPr>
        <xdr:cNvPr id="6" name="Rectangle 5"/>
        <xdr:cNvSpPr/>
      </xdr:nvSpPr>
      <xdr:spPr>
        <a:xfrm>
          <a:off x="8793422" y="914400"/>
          <a:ext cx="1082797" cy="904158"/>
        </a:xfrm>
        <a:prstGeom prst="rect">
          <a:avLst/>
        </a:prstGeom>
        <a:noFill/>
      </xdr:spPr>
      <xdr:txBody>
        <a:bodyPr wrap="none" lIns="91440" tIns="45720" rIns="91440" bIns="45720">
          <a:spAutoFit/>
          <a:scene3d>
            <a:camera prst="orthographicFront"/>
            <a:lightRig rig="brightRoom" dir="t"/>
          </a:scene3d>
          <a:sp3d contourW="6350" prstMaterial="plastic">
            <a:bevelT w="20320" h="20320" prst="angle"/>
            <a:contourClr>
              <a:schemeClr val="accent1">
                <a:tint val="100000"/>
                <a:shade val="100000"/>
                <a:hueMod val="100000"/>
                <a:satMod val="100000"/>
              </a:schemeClr>
            </a:contourClr>
          </a:sp3d>
        </a:bodyPr>
        <a:lstStyle/>
        <a:p>
          <a:pPr algn="ctr"/>
          <a:r>
            <a:rPr lang="en-US" sz="5400" b="1" cap="all" spc="0">
              <a:ln/>
              <a:solidFill>
                <a:schemeClr val="accent1"/>
              </a:solidFill>
              <a:effectLst>
                <a:outerShdw blurRad="19685" dist="12700" dir="5400000" algn="tl" rotWithShape="0">
                  <a:schemeClr val="accent1">
                    <a:satMod val="130000"/>
                    <a:alpha val="60000"/>
                  </a:schemeClr>
                </a:outerShdw>
                <a:reflection blurRad="10000" stA="55000" endPos="48000" dist="500" dir="5400000" sy="-100000" algn="bl" rotWithShape="0"/>
              </a:effectLst>
              <a:latin typeface="+mj-lt"/>
            </a:rPr>
            <a:t>2D</a:t>
          </a:r>
        </a:p>
      </xdr:txBody>
    </xdr:sp>
    <xdr:clientData/>
  </xdr:oneCellAnchor>
  <xdr:twoCellAnchor editAs="absolute">
    <xdr:from>
      <xdr:col>3</xdr:col>
      <xdr:colOff>31750</xdr:colOff>
      <xdr:row>10</xdr:row>
      <xdr:rowOff>28575</xdr:rowOff>
    </xdr:from>
    <xdr:to>
      <xdr:col>3</xdr:col>
      <xdr:colOff>158750</xdr:colOff>
      <xdr:row>10</xdr:row>
      <xdr:rowOff>155575</xdr:rowOff>
    </xdr:to>
    <xdr:sp macro="[4]!DisplayCalendar" textlink="">
      <xdr:nvSpPr>
        <xdr:cNvPr id="5" name="Rectangle 4"/>
        <xdr:cNvSpPr/>
      </xdr:nvSpPr>
      <xdr:spPr>
        <a:xfrm>
          <a:off x="5003800" y="1943100"/>
          <a:ext cx="127000" cy="127000"/>
        </a:xfrm>
        <a:prstGeom prst="rect">
          <a:avLst/>
        </a:prstGeom>
        <a:blipFill>
          <a:blip xmlns:r="http://schemas.openxmlformats.org/officeDocument/2006/relationships" r:embed="rId1" cstate="print"/>
          <a:stretch>
            <a:fillRect/>
          </a:stretch>
        </a:blip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fr-CA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304800</xdr:colOff>
          <xdr:row>10</xdr:row>
          <xdr:rowOff>123825</xdr:rowOff>
        </xdr:from>
        <xdr:to>
          <xdr:col>1</xdr:col>
          <xdr:colOff>47625</xdr:colOff>
          <xdr:row>11</xdr:row>
          <xdr:rowOff>152400</xdr:rowOff>
        </xdr:to>
        <xdr:sp macro="" textlink="">
          <xdr:nvSpPr>
            <xdr:cNvPr id="1032" name="Image6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19050</xdr:colOff>
          <xdr:row>10</xdr:row>
          <xdr:rowOff>123825</xdr:rowOff>
        </xdr:from>
        <xdr:to>
          <xdr:col>0</xdr:col>
          <xdr:colOff>247650</xdr:colOff>
          <xdr:row>11</xdr:row>
          <xdr:rowOff>152400</xdr:rowOff>
        </xdr:to>
        <xdr:sp macro="" textlink="">
          <xdr:nvSpPr>
            <xdr:cNvPr id="1033" name="Image7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152400</xdr:colOff>
          <xdr:row>10</xdr:row>
          <xdr:rowOff>123825</xdr:rowOff>
        </xdr:from>
        <xdr:to>
          <xdr:col>1</xdr:col>
          <xdr:colOff>381000</xdr:colOff>
          <xdr:row>11</xdr:row>
          <xdr:rowOff>152400</xdr:rowOff>
        </xdr:to>
        <xdr:sp macro="" textlink="">
          <xdr:nvSpPr>
            <xdr:cNvPr id="1034" name="Image8" hidden="1">
              <a:extLst>
                <a:ext uri="{63B3BB69-23CF-44E3-9099-C40C66FF867C}">
                  <a14:compatExt spid="_x0000_s10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438150</xdr:colOff>
          <xdr:row>10</xdr:row>
          <xdr:rowOff>123825</xdr:rowOff>
        </xdr:from>
        <xdr:to>
          <xdr:col>1</xdr:col>
          <xdr:colOff>666750</xdr:colOff>
          <xdr:row>11</xdr:row>
          <xdr:rowOff>152400</xdr:rowOff>
        </xdr:to>
        <xdr:sp macro="" textlink="">
          <xdr:nvSpPr>
            <xdr:cNvPr id="1035" name="Image5" hidden="1">
              <a:extLst>
                <a:ext uri="{63B3BB69-23CF-44E3-9099-C40C66FF867C}">
                  <a14:compatExt spid="_x0000_s10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314325</xdr:colOff>
          <xdr:row>10</xdr:row>
          <xdr:rowOff>123825</xdr:rowOff>
        </xdr:from>
        <xdr:to>
          <xdr:col>5</xdr:col>
          <xdr:colOff>76200</xdr:colOff>
          <xdr:row>11</xdr:row>
          <xdr:rowOff>152400</xdr:rowOff>
        </xdr:to>
        <xdr:sp macro="" textlink="">
          <xdr:nvSpPr>
            <xdr:cNvPr id="1036" name="Image9" hidden="1">
              <a:extLst>
                <a:ext uri="{63B3BB69-23CF-44E3-9099-C40C66FF867C}">
                  <a14:compatExt spid="_x0000_s103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161925</xdr:colOff>
          <xdr:row>10</xdr:row>
          <xdr:rowOff>123825</xdr:rowOff>
        </xdr:from>
        <xdr:to>
          <xdr:col>5</xdr:col>
          <xdr:colOff>390525</xdr:colOff>
          <xdr:row>11</xdr:row>
          <xdr:rowOff>152400</xdr:rowOff>
        </xdr:to>
        <xdr:sp macro="" textlink="">
          <xdr:nvSpPr>
            <xdr:cNvPr id="1037" name="Image10" hidden="1">
              <a:extLst>
                <a:ext uri="{63B3BB69-23CF-44E3-9099-C40C66FF867C}">
                  <a14:compatExt spid="_x0000_s10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10</xdr:row>
          <xdr:rowOff>123825</xdr:rowOff>
        </xdr:from>
        <xdr:to>
          <xdr:col>4</xdr:col>
          <xdr:colOff>238125</xdr:colOff>
          <xdr:row>11</xdr:row>
          <xdr:rowOff>152400</xdr:rowOff>
        </xdr:to>
        <xdr:sp macro="" textlink="">
          <xdr:nvSpPr>
            <xdr:cNvPr id="1038" name="Image11" hidden="1">
              <a:extLst>
                <a:ext uri="{63B3BB69-23CF-44E3-9099-C40C66FF867C}">
                  <a14:compatExt spid="_x0000_s10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47625</xdr:colOff>
          <xdr:row>27</xdr:row>
          <xdr:rowOff>133350</xdr:rowOff>
        </xdr:from>
        <xdr:to>
          <xdr:col>13</xdr:col>
          <xdr:colOff>400050</xdr:colOff>
          <xdr:row>32</xdr:row>
          <xdr:rowOff>0</xdr:rowOff>
        </xdr:to>
        <xdr:sp macro="" textlink="">
          <xdr:nvSpPr>
            <xdr:cNvPr id="1039" name="Label1" hidden="1">
              <a:extLst>
                <a:ext uri="{63B3BB69-23CF-44E3-9099-C40C66FF867C}">
                  <a14:compatExt spid="_x0000_s103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914400</xdr:colOff>
          <xdr:row>10</xdr:row>
          <xdr:rowOff>123825</xdr:rowOff>
        </xdr:from>
        <xdr:to>
          <xdr:col>1</xdr:col>
          <xdr:colOff>1104900</xdr:colOff>
          <xdr:row>11</xdr:row>
          <xdr:rowOff>152400</xdr:rowOff>
        </xdr:to>
        <xdr:sp macro="" textlink="">
          <xdr:nvSpPr>
            <xdr:cNvPr id="1072" name="SpinButton3D" hidden="1">
              <a:extLst>
                <a:ext uri="{63B3BB69-23CF-44E3-9099-C40C66FF867C}">
                  <a14:compatExt spid="_x0000_s107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714375</xdr:colOff>
          <xdr:row>10</xdr:row>
          <xdr:rowOff>133350</xdr:rowOff>
        </xdr:from>
        <xdr:to>
          <xdr:col>1</xdr:col>
          <xdr:colOff>914400</xdr:colOff>
          <xdr:row>11</xdr:row>
          <xdr:rowOff>161925</xdr:rowOff>
        </xdr:to>
        <xdr:sp macro="" textlink="">
          <xdr:nvSpPr>
            <xdr:cNvPr id="1073" name="Text3D" hidden="1">
              <a:extLst>
                <a:ext uri="{63B3BB69-23CF-44E3-9099-C40C66FF867C}">
                  <a14:compatExt spid="_x0000_s10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647700</xdr:colOff>
          <xdr:row>10</xdr:row>
          <xdr:rowOff>133350</xdr:rowOff>
        </xdr:from>
        <xdr:to>
          <xdr:col>5</xdr:col>
          <xdr:colOff>838200</xdr:colOff>
          <xdr:row>11</xdr:row>
          <xdr:rowOff>161925</xdr:rowOff>
        </xdr:to>
        <xdr:sp macro="" textlink="">
          <xdr:nvSpPr>
            <xdr:cNvPr id="1076" name="SpinButton2D" hidden="1">
              <a:extLst>
                <a:ext uri="{63B3BB69-23CF-44E3-9099-C40C66FF867C}">
                  <a14:compatExt spid="_x0000_s107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447675</xdr:colOff>
          <xdr:row>10</xdr:row>
          <xdr:rowOff>142875</xdr:rowOff>
        </xdr:from>
        <xdr:to>
          <xdr:col>5</xdr:col>
          <xdr:colOff>647700</xdr:colOff>
          <xdr:row>11</xdr:row>
          <xdr:rowOff>171450</xdr:rowOff>
        </xdr:to>
        <xdr:sp macro="" textlink="">
          <xdr:nvSpPr>
            <xdr:cNvPr id="1077" name="Text2D" hidden="1">
              <a:extLst>
                <a:ext uri="{63B3BB69-23CF-44E3-9099-C40C66FF867C}">
                  <a14:compatExt spid="_x0000_s107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1581150</xdr:colOff>
          <xdr:row>5</xdr:row>
          <xdr:rowOff>19050</xdr:rowOff>
        </xdr:from>
        <xdr:to>
          <xdr:col>2</xdr:col>
          <xdr:colOff>2114550</xdr:colOff>
          <xdr:row>6</xdr:row>
          <xdr:rowOff>9525</xdr:rowOff>
        </xdr:to>
        <xdr:sp macro="" textlink="">
          <xdr:nvSpPr>
            <xdr:cNvPr id="1122" name="Label2" hidden="1">
              <a:extLst>
                <a:ext uri="{63B3BB69-23CF-44E3-9099-C40C66FF867C}">
                  <a14:compatExt spid="_x0000_s112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361950</xdr:colOff>
          <xdr:row>12</xdr:row>
          <xdr:rowOff>0</xdr:rowOff>
        </xdr:from>
        <xdr:to>
          <xdr:col>7</xdr:col>
          <xdr:colOff>142875</xdr:colOff>
          <xdr:row>13</xdr:row>
          <xdr:rowOff>152400</xdr:rowOff>
        </xdr:to>
        <xdr:sp macro="" textlink="">
          <xdr:nvSpPr>
            <xdr:cNvPr id="4097" name="Image1" hidden="1">
              <a:extLst>
                <a:ext uri="{63B3BB69-23CF-44E3-9099-C40C66FF867C}">
                  <a14:compatExt spid="_x0000_s40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295275</xdr:colOff>
          <xdr:row>8</xdr:row>
          <xdr:rowOff>0</xdr:rowOff>
        </xdr:from>
        <xdr:to>
          <xdr:col>9</xdr:col>
          <xdr:colOff>76200</xdr:colOff>
          <xdr:row>9</xdr:row>
          <xdr:rowOff>152400</xdr:rowOff>
        </xdr:to>
        <xdr:sp macro="" textlink="">
          <xdr:nvSpPr>
            <xdr:cNvPr id="5121" name="Image1" hidden="1">
              <a:extLst>
                <a:ext uri="{63B3BB69-23CF-44E3-9099-C40C66FF867C}">
                  <a14:compatExt spid="_x0000_s51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295275</xdr:colOff>
          <xdr:row>5</xdr:row>
          <xdr:rowOff>104775</xdr:rowOff>
        </xdr:from>
        <xdr:to>
          <xdr:col>6</xdr:col>
          <xdr:colOff>28575</xdr:colOff>
          <xdr:row>6</xdr:row>
          <xdr:rowOff>190500</xdr:rowOff>
        </xdr:to>
        <xdr:sp macro="" textlink="">
          <xdr:nvSpPr>
            <xdr:cNvPr id="6145" name="CommandButton1" hidden="1">
              <a:extLst>
                <a:ext uri="{63B3BB69-23CF-44E3-9099-C40C66FF867C}">
                  <a14:compatExt spid="_x0000_s61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4686300</xdr:colOff>
          <xdr:row>3</xdr:row>
          <xdr:rowOff>57150</xdr:rowOff>
        </xdr:from>
        <xdr:to>
          <xdr:col>11</xdr:col>
          <xdr:colOff>400050</xdr:colOff>
          <xdr:row>5</xdr:row>
          <xdr:rowOff>142875</xdr:rowOff>
        </xdr:to>
        <xdr:sp macro="" textlink="">
          <xdr:nvSpPr>
            <xdr:cNvPr id="15361" name="CommandButton1" hidden="1">
              <a:extLst>
                <a:ext uri="{63B3BB69-23CF-44E3-9099-C40C66FF867C}">
                  <a14:compatExt spid="_x0000_s1536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581025</xdr:colOff>
          <xdr:row>10</xdr:row>
          <xdr:rowOff>95250</xdr:rowOff>
        </xdr:from>
        <xdr:to>
          <xdr:col>5</xdr:col>
          <xdr:colOff>257175</xdr:colOff>
          <xdr:row>13</xdr:row>
          <xdr:rowOff>57150</xdr:rowOff>
        </xdr:to>
        <xdr:sp macro="" textlink="">
          <xdr:nvSpPr>
            <xdr:cNvPr id="14337" name="CommandButton1" hidden="1">
              <a:extLst>
                <a:ext uri="{63B3BB69-23CF-44E3-9099-C40C66FF867C}">
                  <a14:compatExt spid="_x0000_s143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depts/Engineering/ETM/GeneralDashboards/ETM%20Dashboard%20Master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Global%205000/Alain%20Jacob/GALLEY/LH%20Galley/Tools/TA/MED/ETM%20Summitt/Drawing%20Status%20Checker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/My%20Dropbox/ETM/ETM%20v2%20MUTs/ETM%20Mass%20Upload%20Template%20Airlines%20Master%2004-25-11a%20(modified%20entity%20description).xlsm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/Program%20Files%20(x86)/Microsoft%20Office/Office12/xlstart/samradDatePicker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Macros"/>
      <sheetName val="TQS"/>
      <sheetName val="EntityDefinition"/>
      <sheetName val="PCDocs"/>
      <sheetName val="formsupport"/>
      <sheetName val="Welcome"/>
      <sheetName val="Dashboard"/>
      <sheetName val="EngAvailability"/>
      <sheetName val="EngWorkGaant"/>
      <sheetName val="Release Status"/>
      <sheetName val="WorkAllocation"/>
      <sheetName val="Task-Dwg Status"/>
      <sheetName val="Duplicate Tasks"/>
    </sheetNames>
    <sheetDataSet>
      <sheetData sheetId="0"/>
      <sheetData sheetId="1"/>
      <sheetData sheetId="2">
        <row r="8">
          <cell r="C8" t="str">
            <v>01018</v>
          </cell>
        </row>
      </sheetData>
      <sheetData sheetId="3"/>
      <sheetData sheetId="4">
        <row r="5">
          <cell r="B5" t="str">
            <v>ATPNumber</v>
          </cell>
          <cell r="D5" t="str">
            <v>ATPNumber</v>
          </cell>
          <cell r="F5" t="str">
            <v>ATPNumber</v>
          </cell>
        </row>
        <row r="6">
          <cell r="B6" t="str">
            <v>AuthorityDocument</v>
          </cell>
          <cell r="D6" t="str">
            <v>AuthorityDocument</v>
          </cell>
          <cell r="F6" t="str">
            <v>AuthorityDocument</v>
          </cell>
        </row>
        <row r="7">
          <cell r="B7" t="str">
            <v>AuthorityType</v>
          </cell>
          <cell r="D7" t="str">
            <v>AuthorityType</v>
          </cell>
          <cell r="F7" t="str">
            <v>CustomerConfiguration</v>
          </cell>
        </row>
        <row r="8">
          <cell r="B8" t="str">
            <v>Customer</v>
          </cell>
          <cell r="D8" t="str">
            <v>Customer</v>
          </cell>
          <cell r="F8" t="str">
            <v>Effectivity</v>
          </cell>
        </row>
        <row r="9">
          <cell r="B9" t="str">
            <v>CustomerConfiguration</v>
          </cell>
          <cell r="D9" t="str">
            <v>CustomerConfiguration</v>
          </cell>
          <cell r="F9" t="str">
            <v>ComponentSubType</v>
          </cell>
        </row>
        <row r="10">
          <cell r="B10" t="str">
            <v>Effectivity</v>
          </cell>
          <cell r="D10" t="str">
            <v>Effectivity</v>
          </cell>
          <cell r="F10" t="str">
            <v>ProductSubType</v>
          </cell>
        </row>
        <row r="11">
          <cell r="B11" t="str">
            <v>Engineer</v>
          </cell>
          <cell r="D11" t="str">
            <v>Engineer</v>
          </cell>
          <cell r="F11" t="str">
            <v>TaskSource</v>
          </cell>
        </row>
        <row r="12">
          <cell r="B12" t="str">
            <v>EntityCode</v>
          </cell>
          <cell r="D12" t="str">
            <v>EntityCode</v>
          </cell>
        </row>
        <row r="13">
          <cell r="B13" t="str">
            <v>ProductCategory</v>
          </cell>
          <cell r="D13" t="str">
            <v>ProductCategory</v>
          </cell>
        </row>
        <row r="14">
          <cell r="B14" t="str">
            <v>ComponentSubType</v>
          </cell>
          <cell r="D14" t="str">
            <v>ComponentSubType</v>
          </cell>
        </row>
        <row r="15">
          <cell r="B15" t="str">
            <v>ProductSubType</v>
          </cell>
          <cell r="D15" t="str">
            <v>ProductSubType</v>
          </cell>
        </row>
        <row r="16">
          <cell r="B16" t="str">
            <v>TaskSource</v>
          </cell>
          <cell r="D16" t="str">
            <v>TaskSource</v>
          </cell>
        </row>
        <row r="32">
          <cell r="B32" t="str">
            <v>474-0-BE2</v>
          </cell>
        </row>
        <row r="33">
          <cell r="B33" t="str">
            <v>474-0-CS1</v>
          </cell>
        </row>
        <row r="34">
          <cell r="B34" t="str">
            <v>474-0-KA2</v>
          </cell>
        </row>
        <row r="35">
          <cell r="B35" t="str">
            <v>474-0-KA3</v>
          </cell>
        </row>
        <row r="36">
          <cell r="B36" t="str">
            <v>474-0-KAI</v>
          </cell>
        </row>
        <row r="37">
          <cell r="B37" t="str">
            <v>985-E-AV3</v>
          </cell>
        </row>
        <row r="38">
          <cell r="B38" t="str">
            <v>985-E-AZZ</v>
          </cell>
        </row>
        <row r="39">
          <cell r="B39" t="str">
            <v>985-E-C14</v>
          </cell>
        </row>
        <row r="40">
          <cell r="B40" t="str">
            <v>985-E-T61</v>
          </cell>
        </row>
        <row r="41">
          <cell r="B41" t="str">
            <v>985-E-TG2</v>
          </cell>
        </row>
        <row r="42">
          <cell r="B42" t="str">
            <v>985-E-VS1</v>
          </cell>
        </row>
        <row r="43">
          <cell r="B43" t="str">
            <v>E61-0-000</v>
          </cell>
        </row>
        <row r="44">
          <cell r="B44" t="str">
            <v>E61-1-001</v>
          </cell>
        </row>
        <row r="45">
          <cell r="B45" t="str">
            <v>E61-1-002</v>
          </cell>
        </row>
        <row r="46">
          <cell r="B46" t="str">
            <v>E61-1-003</v>
          </cell>
        </row>
        <row r="47">
          <cell r="B47" t="str">
            <v>E61-1-004</v>
          </cell>
        </row>
        <row r="48">
          <cell r="B48" t="str">
            <v>E61-1-005</v>
          </cell>
        </row>
        <row r="49">
          <cell r="B49" t="str">
            <v>E61-1-006</v>
          </cell>
        </row>
        <row r="50">
          <cell r="B50" t="str">
            <v>E61-1-007</v>
          </cell>
        </row>
        <row r="51">
          <cell r="B51" t="str">
            <v>E61-1-008</v>
          </cell>
        </row>
        <row r="52">
          <cell r="B52" t="str">
            <v>E61-1-009</v>
          </cell>
        </row>
        <row r="53">
          <cell r="B53" t="str">
            <v>E61-1-010</v>
          </cell>
        </row>
        <row r="54">
          <cell r="B54" t="str">
            <v>E61-1-011</v>
          </cell>
        </row>
        <row r="55">
          <cell r="B55" t="str">
            <v>E61-1-012</v>
          </cell>
        </row>
        <row r="56">
          <cell r="B56" t="str">
            <v>E61-1-015</v>
          </cell>
        </row>
        <row r="57">
          <cell r="B57" t="str">
            <v>E61-1-016</v>
          </cell>
        </row>
        <row r="58">
          <cell r="B58" t="str">
            <v>E61-1-017</v>
          </cell>
        </row>
        <row r="59">
          <cell r="B59" t="str">
            <v>E61-1-018</v>
          </cell>
        </row>
        <row r="60">
          <cell r="B60" t="str">
            <v>E61-1-019</v>
          </cell>
        </row>
        <row r="61">
          <cell r="B61" t="str">
            <v>E61-1-020</v>
          </cell>
        </row>
        <row r="62">
          <cell r="B62" t="str">
            <v>E61-1-021</v>
          </cell>
        </row>
      </sheetData>
      <sheetData sheetId="5"/>
      <sheetData sheetId="6"/>
      <sheetData sheetId="7"/>
      <sheetData sheetId="8"/>
      <sheetData sheetId="9"/>
      <sheetData sheetId="10"/>
      <sheetData sheetId="11"/>
      <sheetData sheetId="12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Main"/>
      <sheetName val="ETMTasks"/>
      <sheetName val="PCDocs"/>
      <sheetName val="STLatest"/>
      <sheetName val="STLatestCATPart"/>
      <sheetName val="STLatestRel"/>
      <sheetName val="OpenWfDwgs"/>
      <sheetName val="WFStatusOpen"/>
      <sheetName val="support"/>
      <sheetName val="Entity Definition"/>
      <sheetName val="Sheet1"/>
      <sheetName val="Drawing Status Checker"/>
    </sheetNames>
    <sheetDataSet>
      <sheetData sheetId="0" refreshError="1">
        <row r="10">
          <cell r="B10" t="str">
            <v>B4728SNTT</v>
          </cell>
        </row>
        <row r="11">
          <cell r="B11" t="str">
            <v>B4726SNTT</v>
          </cell>
        </row>
        <row r="12">
          <cell r="B12" t="str">
            <v>B471215</v>
          </cell>
        </row>
        <row r="13">
          <cell r="B13" t="str">
            <v>B471069</v>
          </cell>
        </row>
        <row r="14">
          <cell r="B14" t="str">
            <v>B472315</v>
          </cell>
        </row>
        <row r="15">
          <cell r="B15" t="str">
            <v>B472326</v>
          </cell>
        </row>
        <row r="16">
          <cell r="B16" t="str">
            <v>B473152</v>
          </cell>
        </row>
        <row r="17">
          <cell r="B17" t="str">
            <v>B611071</v>
          </cell>
        </row>
        <row r="18">
          <cell r="B18" t="str">
            <v>B471516</v>
          </cell>
        </row>
        <row r="19">
          <cell r="B19" t="str">
            <v>B611010</v>
          </cell>
        </row>
        <row r="20">
          <cell r="B20" t="str">
            <v>D001014</v>
          </cell>
        </row>
        <row r="21">
          <cell r="B21" t="str">
            <v>B611015</v>
          </cell>
        </row>
        <row r="22">
          <cell r="B22" t="str">
            <v>B472107</v>
          </cell>
        </row>
        <row r="23">
          <cell r="B23" t="str">
            <v>B471086</v>
          </cell>
        </row>
        <row r="24">
          <cell r="B24" t="str">
            <v>B611054</v>
          </cell>
        </row>
        <row r="25">
          <cell r="B25" t="str">
            <v>B611053</v>
          </cell>
        </row>
        <row r="26">
          <cell r="B26" t="str">
            <v>B473006</v>
          </cell>
        </row>
        <row r="27">
          <cell r="B27" t="str">
            <v>B473020</v>
          </cell>
        </row>
        <row r="28">
          <cell r="B28" t="str">
            <v>B591081</v>
          </cell>
        </row>
        <row r="29">
          <cell r="B29" t="str">
            <v>B475013</v>
          </cell>
        </row>
        <row r="30">
          <cell r="B30" t="str">
            <v>B473021</v>
          </cell>
        </row>
        <row r="31">
          <cell r="B31" t="str">
            <v>B475039</v>
          </cell>
        </row>
        <row r="32">
          <cell r="B32" t="str">
            <v>B473017</v>
          </cell>
        </row>
        <row r="33">
          <cell r="B33" t="str">
            <v>B611031</v>
          </cell>
        </row>
        <row r="34">
          <cell r="B34" t="str">
            <v>B472088</v>
          </cell>
        </row>
        <row r="35">
          <cell r="B35" t="str">
            <v>B4736SNTT</v>
          </cell>
        </row>
        <row r="36">
          <cell r="B36" t="str">
            <v>B471138</v>
          </cell>
        </row>
        <row r="37">
          <cell r="B37" t="str">
            <v>B473631</v>
          </cell>
        </row>
        <row r="38">
          <cell r="B38" t="str">
            <v>B473534</v>
          </cell>
        </row>
        <row r="39">
          <cell r="B39" t="str">
            <v>B473540</v>
          </cell>
        </row>
        <row r="40">
          <cell r="B40" t="str">
            <v>B473541</v>
          </cell>
        </row>
        <row r="41">
          <cell r="B41" t="str">
            <v>B473533</v>
          </cell>
        </row>
        <row r="42">
          <cell r="B42" t="str">
            <v>B483533</v>
          </cell>
        </row>
        <row r="43">
          <cell r="B43" t="str">
            <v>B471262</v>
          </cell>
        </row>
        <row r="44">
          <cell r="B44" t="str">
            <v>B471264</v>
          </cell>
        </row>
        <row r="45">
          <cell r="B45" t="str">
            <v>B471171</v>
          </cell>
        </row>
        <row r="46">
          <cell r="B46" t="str">
            <v>B483535</v>
          </cell>
        </row>
        <row r="47">
          <cell r="B47" t="str">
            <v>B475204</v>
          </cell>
        </row>
        <row r="48">
          <cell r="B48" t="str">
            <v>B475036</v>
          </cell>
        </row>
        <row r="49">
          <cell r="B49" t="str">
            <v>B475084</v>
          </cell>
        </row>
        <row r="50">
          <cell r="B50" t="str">
            <v>B475035</v>
          </cell>
        </row>
        <row r="51">
          <cell r="B51" t="str">
            <v>B475037</v>
          </cell>
        </row>
        <row r="52">
          <cell r="B52" t="str">
            <v>B475034</v>
          </cell>
        </row>
        <row r="53">
          <cell r="B53" t="str">
            <v>B475033</v>
          </cell>
        </row>
        <row r="54">
          <cell r="B54" t="str">
            <v>B475049</v>
          </cell>
        </row>
        <row r="55">
          <cell r="B55" t="str">
            <v>B475090</v>
          </cell>
        </row>
        <row r="56">
          <cell r="B56" t="str">
            <v>B481702</v>
          </cell>
        </row>
        <row r="57">
          <cell r="B57" t="str">
            <v>B475043</v>
          </cell>
        </row>
        <row r="58">
          <cell r="B58" t="str">
            <v>B481217</v>
          </cell>
        </row>
        <row r="59">
          <cell r="B59" t="str">
            <v>B482472</v>
          </cell>
        </row>
        <row r="60">
          <cell r="B60" t="str">
            <v>B471010</v>
          </cell>
        </row>
      </sheetData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>
        <row r="2">
          <cell r="K2" t="str">
            <v>NC</v>
          </cell>
          <cell r="L2" t="str">
            <v>NC</v>
          </cell>
          <cell r="M2">
            <v>0</v>
          </cell>
        </row>
        <row r="3">
          <cell r="K3" t="str">
            <v>N/C</v>
          </cell>
          <cell r="L3" t="str">
            <v>NC</v>
          </cell>
          <cell r="M3">
            <v>0</v>
          </cell>
        </row>
        <row r="4">
          <cell r="K4" t="str">
            <v>A1</v>
          </cell>
          <cell r="L4" t="str">
            <v>NC</v>
          </cell>
          <cell r="M4">
            <v>1</v>
          </cell>
        </row>
        <row r="5">
          <cell r="K5" t="str">
            <v>A2</v>
          </cell>
          <cell r="L5" t="str">
            <v>NC</v>
          </cell>
          <cell r="M5">
            <v>2</v>
          </cell>
        </row>
        <row r="6">
          <cell r="K6" t="str">
            <v>A3</v>
          </cell>
          <cell r="L6" t="str">
            <v>NC</v>
          </cell>
          <cell r="M6">
            <v>3</v>
          </cell>
        </row>
        <row r="7">
          <cell r="K7" t="str">
            <v>A4</v>
          </cell>
          <cell r="L7" t="str">
            <v>NC</v>
          </cell>
          <cell r="M7">
            <v>4</v>
          </cell>
        </row>
        <row r="8">
          <cell r="K8" t="str">
            <v>A5</v>
          </cell>
          <cell r="L8" t="str">
            <v>NC</v>
          </cell>
          <cell r="M8">
            <v>5</v>
          </cell>
        </row>
        <row r="9">
          <cell r="K9" t="str">
            <v>A6</v>
          </cell>
          <cell r="L9" t="str">
            <v>NC</v>
          </cell>
          <cell r="M9">
            <v>6</v>
          </cell>
        </row>
        <row r="10">
          <cell r="K10" t="str">
            <v>A7</v>
          </cell>
          <cell r="L10" t="str">
            <v>NC</v>
          </cell>
          <cell r="M10">
            <v>7</v>
          </cell>
        </row>
        <row r="11">
          <cell r="K11" t="str">
            <v>A</v>
          </cell>
          <cell r="L11" t="str">
            <v>A</v>
          </cell>
          <cell r="M11">
            <v>8</v>
          </cell>
        </row>
        <row r="12">
          <cell r="K12" t="str">
            <v>B1</v>
          </cell>
          <cell r="L12" t="str">
            <v>A</v>
          </cell>
          <cell r="M12">
            <v>9</v>
          </cell>
        </row>
        <row r="13">
          <cell r="K13" t="str">
            <v>B2</v>
          </cell>
          <cell r="L13" t="str">
            <v>A</v>
          </cell>
          <cell r="M13">
            <v>10</v>
          </cell>
        </row>
        <row r="14">
          <cell r="K14" t="str">
            <v>B3</v>
          </cell>
          <cell r="L14" t="str">
            <v>A</v>
          </cell>
          <cell r="M14">
            <v>11</v>
          </cell>
        </row>
        <row r="15">
          <cell r="K15" t="str">
            <v>B4</v>
          </cell>
          <cell r="L15" t="str">
            <v>A</v>
          </cell>
          <cell r="M15">
            <v>12</v>
          </cell>
        </row>
        <row r="16">
          <cell r="K16" t="str">
            <v>B5</v>
          </cell>
          <cell r="L16" t="str">
            <v>A</v>
          </cell>
          <cell r="M16">
            <v>13</v>
          </cell>
        </row>
        <row r="17">
          <cell r="K17" t="str">
            <v>B6</v>
          </cell>
          <cell r="L17" t="str">
            <v>A</v>
          </cell>
          <cell r="M17">
            <v>14</v>
          </cell>
        </row>
        <row r="18">
          <cell r="K18" t="str">
            <v>B7</v>
          </cell>
          <cell r="L18" t="str">
            <v>A</v>
          </cell>
          <cell r="M18">
            <v>15</v>
          </cell>
        </row>
        <row r="19">
          <cell r="K19" t="str">
            <v>B</v>
          </cell>
          <cell r="L19" t="str">
            <v>B</v>
          </cell>
          <cell r="M19">
            <v>16</v>
          </cell>
        </row>
        <row r="20">
          <cell r="K20" t="str">
            <v>C1</v>
          </cell>
          <cell r="L20" t="str">
            <v>B</v>
          </cell>
          <cell r="M20">
            <v>17</v>
          </cell>
        </row>
        <row r="21">
          <cell r="K21" t="str">
            <v>C2</v>
          </cell>
          <cell r="L21" t="str">
            <v>B</v>
          </cell>
          <cell r="M21">
            <v>18</v>
          </cell>
        </row>
        <row r="22">
          <cell r="K22" t="str">
            <v>C3</v>
          </cell>
          <cell r="L22" t="str">
            <v>B</v>
          </cell>
          <cell r="M22">
            <v>19</v>
          </cell>
        </row>
        <row r="23">
          <cell r="K23" t="str">
            <v>C4</v>
          </cell>
          <cell r="L23" t="str">
            <v>B</v>
          </cell>
          <cell r="M23">
            <v>20</v>
          </cell>
        </row>
        <row r="24">
          <cell r="K24" t="str">
            <v>C5</v>
          </cell>
          <cell r="L24" t="str">
            <v>B</v>
          </cell>
          <cell r="M24">
            <v>21</v>
          </cell>
        </row>
        <row r="25">
          <cell r="K25" t="str">
            <v>C6</v>
          </cell>
          <cell r="L25" t="str">
            <v>B</v>
          </cell>
          <cell r="M25">
            <v>22</v>
          </cell>
        </row>
        <row r="26">
          <cell r="K26" t="str">
            <v>C7</v>
          </cell>
          <cell r="L26" t="str">
            <v>B</v>
          </cell>
          <cell r="M26">
            <v>23</v>
          </cell>
        </row>
        <row r="27">
          <cell r="K27" t="str">
            <v>C</v>
          </cell>
          <cell r="L27" t="str">
            <v>C</v>
          </cell>
          <cell r="M27">
            <v>24</v>
          </cell>
        </row>
        <row r="28">
          <cell r="K28" t="str">
            <v>D1</v>
          </cell>
          <cell r="L28" t="str">
            <v>C</v>
          </cell>
          <cell r="M28">
            <v>25</v>
          </cell>
        </row>
        <row r="29">
          <cell r="K29" t="str">
            <v>D2</v>
          </cell>
          <cell r="L29" t="str">
            <v>C</v>
          </cell>
          <cell r="M29">
            <v>26</v>
          </cell>
        </row>
        <row r="30">
          <cell r="K30" t="str">
            <v>D3</v>
          </cell>
          <cell r="L30" t="str">
            <v>C</v>
          </cell>
          <cell r="M30">
            <v>27</v>
          </cell>
        </row>
        <row r="31">
          <cell r="K31" t="str">
            <v>D4</v>
          </cell>
          <cell r="L31" t="str">
            <v>C</v>
          </cell>
          <cell r="M31">
            <v>28</v>
          </cell>
        </row>
        <row r="32">
          <cell r="K32" t="str">
            <v>D5</v>
          </cell>
          <cell r="L32" t="str">
            <v>C</v>
          </cell>
          <cell r="M32">
            <v>29</v>
          </cell>
        </row>
        <row r="33">
          <cell r="K33" t="str">
            <v>D6</v>
          </cell>
          <cell r="L33" t="str">
            <v>C</v>
          </cell>
          <cell r="M33">
            <v>30</v>
          </cell>
        </row>
        <row r="34">
          <cell r="K34" t="str">
            <v>D7</v>
          </cell>
          <cell r="L34" t="str">
            <v>C</v>
          </cell>
          <cell r="M34">
            <v>31</v>
          </cell>
        </row>
        <row r="35">
          <cell r="K35" t="str">
            <v>D</v>
          </cell>
          <cell r="L35" t="str">
            <v>D</v>
          </cell>
          <cell r="M35">
            <v>32</v>
          </cell>
        </row>
        <row r="36">
          <cell r="K36" t="str">
            <v>E1</v>
          </cell>
          <cell r="L36" t="str">
            <v>D</v>
          </cell>
          <cell r="M36">
            <v>33</v>
          </cell>
        </row>
        <row r="37">
          <cell r="K37" t="str">
            <v>E2</v>
          </cell>
          <cell r="L37" t="str">
            <v>D</v>
          </cell>
          <cell r="M37">
            <v>34</v>
          </cell>
        </row>
        <row r="38">
          <cell r="K38" t="str">
            <v>E3</v>
          </cell>
          <cell r="L38" t="str">
            <v>D</v>
          </cell>
          <cell r="M38">
            <v>35</v>
          </cell>
        </row>
        <row r="39">
          <cell r="K39" t="str">
            <v>E4</v>
          </cell>
          <cell r="L39" t="str">
            <v>D</v>
          </cell>
          <cell r="M39">
            <v>36</v>
          </cell>
        </row>
        <row r="40">
          <cell r="K40" t="str">
            <v>E5</v>
          </cell>
          <cell r="L40" t="str">
            <v>D</v>
          </cell>
          <cell r="M40">
            <v>37</v>
          </cell>
        </row>
        <row r="41">
          <cell r="K41" t="str">
            <v>E6</v>
          </cell>
          <cell r="L41" t="str">
            <v>D</v>
          </cell>
          <cell r="M41">
            <v>38</v>
          </cell>
        </row>
        <row r="42">
          <cell r="K42" t="str">
            <v>E7</v>
          </cell>
          <cell r="L42" t="str">
            <v>D</v>
          </cell>
          <cell r="M42">
            <v>39</v>
          </cell>
        </row>
        <row r="43">
          <cell r="K43" t="str">
            <v>E</v>
          </cell>
          <cell r="L43" t="str">
            <v>E</v>
          </cell>
          <cell r="M43">
            <v>40</v>
          </cell>
        </row>
        <row r="44">
          <cell r="K44" t="str">
            <v>F1</v>
          </cell>
          <cell r="L44" t="str">
            <v>E</v>
          </cell>
          <cell r="M44">
            <v>41</v>
          </cell>
        </row>
        <row r="45">
          <cell r="K45" t="str">
            <v>F2</v>
          </cell>
          <cell r="L45" t="str">
            <v>E</v>
          </cell>
          <cell r="M45">
            <v>42</v>
          </cell>
        </row>
        <row r="46">
          <cell r="K46" t="str">
            <v>F3</v>
          </cell>
          <cell r="L46" t="str">
            <v>E</v>
          </cell>
          <cell r="M46">
            <v>43</v>
          </cell>
        </row>
        <row r="47">
          <cell r="K47" t="str">
            <v>F4</v>
          </cell>
          <cell r="L47" t="str">
            <v>E</v>
          </cell>
          <cell r="M47">
            <v>44</v>
          </cell>
        </row>
        <row r="48">
          <cell r="K48" t="str">
            <v>F5</v>
          </cell>
          <cell r="L48" t="str">
            <v>E</v>
          </cell>
          <cell r="M48">
            <v>45</v>
          </cell>
        </row>
        <row r="49">
          <cell r="K49" t="str">
            <v>F6</v>
          </cell>
          <cell r="L49" t="str">
            <v>E</v>
          </cell>
          <cell r="M49">
            <v>46</v>
          </cell>
        </row>
        <row r="50">
          <cell r="K50" t="str">
            <v>F7</v>
          </cell>
          <cell r="L50" t="str">
            <v>E</v>
          </cell>
          <cell r="M50">
            <v>47</v>
          </cell>
        </row>
        <row r="51">
          <cell r="K51" t="str">
            <v>F</v>
          </cell>
          <cell r="L51" t="str">
            <v>F</v>
          </cell>
          <cell r="M51">
            <v>48</v>
          </cell>
        </row>
        <row r="52">
          <cell r="K52" t="str">
            <v>G1</v>
          </cell>
          <cell r="L52" t="str">
            <v>F</v>
          </cell>
          <cell r="M52">
            <v>49</v>
          </cell>
        </row>
        <row r="53">
          <cell r="K53" t="str">
            <v>G2</v>
          </cell>
          <cell r="L53" t="str">
            <v>F</v>
          </cell>
          <cell r="M53">
            <v>50</v>
          </cell>
        </row>
        <row r="54">
          <cell r="K54" t="str">
            <v>G3</v>
          </cell>
          <cell r="L54" t="str">
            <v>F</v>
          </cell>
          <cell r="M54">
            <v>51</v>
          </cell>
        </row>
        <row r="55">
          <cell r="K55" t="str">
            <v>G4</v>
          </cell>
          <cell r="L55" t="str">
            <v>F</v>
          </cell>
          <cell r="M55">
            <v>52</v>
          </cell>
        </row>
        <row r="56">
          <cell r="K56" t="str">
            <v>G5</v>
          </cell>
          <cell r="L56" t="str">
            <v>F</v>
          </cell>
          <cell r="M56">
            <v>53</v>
          </cell>
        </row>
        <row r="57">
          <cell r="K57" t="str">
            <v>G6</v>
          </cell>
          <cell r="L57" t="str">
            <v>F</v>
          </cell>
          <cell r="M57">
            <v>54</v>
          </cell>
        </row>
        <row r="58">
          <cell r="K58" t="str">
            <v>G7</v>
          </cell>
          <cell r="L58" t="str">
            <v>F</v>
          </cell>
          <cell r="M58">
            <v>55</v>
          </cell>
        </row>
        <row r="59">
          <cell r="K59" t="str">
            <v>G</v>
          </cell>
          <cell r="L59" t="str">
            <v>G</v>
          </cell>
          <cell r="M59">
            <v>56</v>
          </cell>
        </row>
        <row r="60">
          <cell r="K60" t="str">
            <v>H1</v>
          </cell>
          <cell r="L60" t="str">
            <v>G</v>
          </cell>
          <cell r="M60">
            <v>57</v>
          </cell>
        </row>
        <row r="61">
          <cell r="K61" t="str">
            <v>H2</v>
          </cell>
          <cell r="L61" t="str">
            <v>G</v>
          </cell>
          <cell r="M61">
            <v>58</v>
          </cell>
        </row>
        <row r="62">
          <cell r="K62" t="str">
            <v>H3</v>
          </cell>
          <cell r="L62" t="str">
            <v>G</v>
          </cell>
          <cell r="M62">
            <v>59</v>
          </cell>
        </row>
        <row r="63">
          <cell r="K63" t="str">
            <v>H4</v>
          </cell>
          <cell r="L63" t="str">
            <v>G</v>
          </cell>
          <cell r="M63">
            <v>60</v>
          </cell>
        </row>
        <row r="64">
          <cell r="K64" t="str">
            <v>H5</v>
          </cell>
          <cell r="L64" t="str">
            <v>G</v>
          </cell>
          <cell r="M64">
            <v>61</v>
          </cell>
        </row>
        <row r="65">
          <cell r="K65" t="str">
            <v>H6</v>
          </cell>
          <cell r="L65" t="str">
            <v>G</v>
          </cell>
          <cell r="M65">
            <v>62</v>
          </cell>
        </row>
        <row r="66">
          <cell r="K66" t="str">
            <v>H7</v>
          </cell>
          <cell r="L66" t="str">
            <v>G</v>
          </cell>
          <cell r="M66">
            <v>63</v>
          </cell>
        </row>
        <row r="67">
          <cell r="K67" t="str">
            <v>H</v>
          </cell>
          <cell r="L67" t="str">
            <v>H</v>
          </cell>
          <cell r="M67">
            <v>64</v>
          </cell>
        </row>
        <row r="68">
          <cell r="K68" t="str">
            <v>J1</v>
          </cell>
          <cell r="L68" t="str">
            <v>H</v>
          </cell>
          <cell r="M68">
            <v>65</v>
          </cell>
        </row>
        <row r="69">
          <cell r="K69" t="str">
            <v>J2</v>
          </cell>
          <cell r="L69" t="str">
            <v>H</v>
          </cell>
          <cell r="M69">
            <v>66</v>
          </cell>
        </row>
        <row r="70">
          <cell r="K70" t="str">
            <v>J3</v>
          </cell>
          <cell r="L70" t="str">
            <v>H</v>
          </cell>
          <cell r="M70">
            <v>67</v>
          </cell>
        </row>
        <row r="71">
          <cell r="K71" t="str">
            <v>J4</v>
          </cell>
          <cell r="L71" t="str">
            <v>H</v>
          </cell>
          <cell r="M71">
            <v>68</v>
          </cell>
        </row>
        <row r="72">
          <cell r="K72" t="str">
            <v>J5</v>
          </cell>
          <cell r="L72" t="str">
            <v>H</v>
          </cell>
          <cell r="M72">
            <v>69</v>
          </cell>
        </row>
        <row r="73">
          <cell r="K73" t="str">
            <v>J6</v>
          </cell>
          <cell r="L73" t="str">
            <v>H</v>
          </cell>
          <cell r="M73">
            <v>70</v>
          </cell>
        </row>
        <row r="74">
          <cell r="K74" t="str">
            <v>J7</v>
          </cell>
          <cell r="L74" t="str">
            <v>H</v>
          </cell>
          <cell r="M74">
            <v>71</v>
          </cell>
        </row>
        <row r="75">
          <cell r="K75" t="str">
            <v>J</v>
          </cell>
          <cell r="L75" t="str">
            <v>J</v>
          </cell>
          <cell r="M75">
            <v>72</v>
          </cell>
        </row>
        <row r="76">
          <cell r="K76" t="str">
            <v>J1</v>
          </cell>
          <cell r="L76" t="str">
            <v>J</v>
          </cell>
          <cell r="M76">
            <v>73</v>
          </cell>
        </row>
        <row r="77">
          <cell r="K77" t="str">
            <v>J2</v>
          </cell>
          <cell r="L77" t="str">
            <v>J</v>
          </cell>
          <cell r="M77">
            <v>74</v>
          </cell>
        </row>
        <row r="78">
          <cell r="K78" t="str">
            <v>J3</v>
          </cell>
          <cell r="L78" t="str">
            <v>J</v>
          </cell>
          <cell r="M78">
            <v>75</v>
          </cell>
        </row>
        <row r="79">
          <cell r="K79" t="str">
            <v>J4</v>
          </cell>
          <cell r="L79" t="str">
            <v>J</v>
          </cell>
          <cell r="M79">
            <v>76</v>
          </cell>
        </row>
        <row r="80">
          <cell r="K80" t="str">
            <v>J5</v>
          </cell>
          <cell r="L80" t="str">
            <v>J</v>
          </cell>
          <cell r="M80">
            <v>77</v>
          </cell>
        </row>
        <row r="81">
          <cell r="K81" t="str">
            <v>J6</v>
          </cell>
          <cell r="L81" t="str">
            <v>J</v>
          </cell>
          <cell r="M81">
            <v>78</v>
          </cell>
        </row>
        <row r="82">
          <cell r="K82" t="str">
            <v>J7</v>
          </cell>
          <cell r="L82" t="str">
            <v>J</v>
          </cell>
          <cell r="M82">
            <v>79</v>
          </cell>
        </row>
        <row r="83">
          <cell r="K83" t="str">
            <v>J</v>
          </cell>
          <cell r="L83" t="str">
            <v>J</v>
          </cell>
          <cell r="M83">
            <v>80</v>
          </cell>
        </row>
        <row r="84">
          <cell r="K84" t="str">
            <v>K1</v>
          </cell>
          <cell r="L84" t="str">
            <v>J</v>
          </cell>
          <cell r="M84">
            <v>81</v>
          </cell>
        </row>
        <row r="85">
          <cell r="K85" t="str">
            <v>K2</v>
          </cell>
          <cell r="L85" t="str">
            <v>J</v>
          </cell>
          <cell r="M85">
            <v>82</v>
          </cell>
        </row>
        <row r="86">
          <cell r="K86" t="str">
            <v>K3</v>
          </cell>
          <cell r="L86" t="str">
            <v>J</v>
          </cell>
          <cell r="M86">
            <v>83</v>
          </cell>
        </row>
        <row r="87">
          <cell r="K87" t="str">
            <v>K4</v>
          </cell>
          <cell r="L87" t="str">
            <v>J</v>
          </cell>
          <cell r="M87">
            <v>84</v>
          </cell>
        </row>
        <row r="88">
          <cell r="K88" t="str">
            <v>K5</v>
          </cell>
          <cell r="L88" t="str">
            <v>J</v>
          </cell>
          <cell r="M88">
            <v>85</v>
          </cell>
        </row>
        <row r="89">
          <cell r="K89" t="str">
            <v>K6</v>
          </cell>
          <cell r="L89" t="str">
            <v>J</v>
          </cell>
          <cell r="M89">
            <v>86</v>
          </cell>
        </row>
        <row r="90">
          <cell r="K90" t="str">
            <v>K7</v>
          </cell>
          <cell r="L90" t="str">
            <v>J</v>
          </cell>
          <cell r="M90">
            <v>87</v>
          </cell>
        </row>
        <row r="91">
          <cell r="K91" t="str">
            <v>K</v>
          </cell>
          <cell r="L91" t="str">
            <v>K</v>
          </cell>
          <cell r="M91">
            <v>88</v>
          </cell>
        </row>
        <row r="92">
          <cell r="K92" t="str">
            <v>L1</v>
          </cell>
          <cell r="L92" t="str">
            <v>K</v>
          </cell>
          <cell r="M92">
            <v>89</v>
          </cell>
        </row>
        <row r="93">
          <cell r="K93" t="str">
            <v>L2</v>
          </cell>
          <cell r="L93" t="str">
            <v>K</v>
          </cell>
          <cell r="M93">
            <v>90</v>
          </cell>
        </row>
        <row r="94">
          <cell r="K94" t="str">
            <v>L3</v>
          </cell>
          <cell r="L94" t="str">
            <v>K</v>
          </cell>
          <cell r="M94">
            <v>91</v>
          </cell>
        </row>
        <row r="95">
          <cell r="K95" t="str">
            <v>L4</v>
          </cell>
          <cell r="L95" t="str">
            <v>K</v>
          </cell>
          <cell r="M95">
            <v>92</v>
          </cell>
        </row>
        <row r="96">
          <cell r="K96" t="str">
            <v>L5</v>
          </cell>
          <cell r="L96" t="str">
            <v>K</v>
          </cell>
          <cell r="M96">
            <v>93</v>
          </cell>
        </row>
        <row r="97">
          <cell r="K97" t="str">
            <v>L6</v>
          </cell>
          <cell r="L97" t="str">
            <v>K</v>
          </cell>
          <cell r="M97">
            <v>94</v>
          </cell>
        </row>
        <row r="98">
          <cell r="K98" t="str">
            <v>L7</v>
          </cell>
          <cell r="L98" t="str">
            <v>K</v>
          </cell>
          <cell r="M98">
            <v>95</v>
          </cell>
        </row>
        <row r="99">
          <cell r="K99" t="str">
            <v>L</v>
          </cell>
          <cell r="L99" t="str">
            <v>L</v>
          </cell>
          <cell r="M99">
            <v>96</v>
          </cell>
        </row>
        <row r="100">
          <cell r="K100" t="str">
            <v>M1</v>
          </cell>
          <cell r="L100" t="str">
            <v>L</v>
          </cell>
          <cell r="M100">
            <v>97</v>
          </cell>
        </row>
        <row r="101">
          <cell r="K101" t="str">
            <v>M2</v>
          </cell>
          <cell r="L101" t="str">
            <v>L</v>
          </cell>
          <cell r="M101">
            <v>98</v>
          </cell>
        </row>
        <row r="102">
          <cell r="K102" t="str">
            <v>M3</v>
          </cell>
          <cell r="L102" t="str">
            <v>L</v>
          </cell>
          <cell r="M102">
            <v>99</v>
          </cell>
        </row>
        <row r="103">
          <cell r="K103" t="str">
            <v>M4</v>
          </cell>
          <cell r="L103" t="str">
            <v>L</v>
          </cell>
          <cell r="M103">
            <v>100</v>
          </cell>
        </row>
        <row r="104">
          <cell r="K104" t="str">
            <v>M5</v>
          </cell>
          <cell r="L104" t="str">
            <v>L</v>
          </cell>
          <cell r="M104">
            <v>101</v>
          </cell>
        </row>
        <row r="105">
          <cell r="K105" t="str">
            <v>M6</v>
          </cell>
          <cell r="L105" t="str">
            <v>L</v>
          </cell>
          <cell r="M105">
            <v>102</v>
          </cell>
        </row>
        <row r="106">
          <cell r="K106" t="str">
            <v>M7</v>
          </cell>
          <cell r="L106" t="str">
            <v>L</v>
          </cell>
          <cell r="M106">
            <v>103</v>
          </cell>
        </row>
        <row r="107">
          <cell r="K107" t="str">
            <v>M</v>
          </cell>
          <cell r="L107" t="str">
            <v>M</v>
          </cell>
          <cell r="M107">
            <v>104</v>
          </cell>
        </row>
        <row r="108">
          <cell r="K108" t="str">
            <v>N1</v>
          </cell>
          <cell r="L108" t="str">
            <v>M</v>
          </cell>
          <cell r="M108">
            <v>105</v>
          </cell>
        </row>
        <row r="109">
          <cell r="K109" t="str">
            <v>N2</v>
          </cell>
          <cell r="L109" t="str">
            <v>M</v>
          </cell>
          <cell r="M109">
            <v>106</v>
          </cell>
        </row>
        <row r="110">
          <cell r="K110" t="str">
            <v>N3</v>
          </cell>
          <cell r="L110" t="str">
            <v>M</v>
          </cell>
          <cell r="M110">
            <v>107</v>
          </cell>
        </row>
        <row r="111">
          <cell r="K111" t="str">
            <v>N4</v>
          </cell>
          <cell r="L111" t="str">
            <v>M</v>
          </cell>
          <cell r="M111">
            <v>108</v>
          </cell>
        </row>
        <row r="112">
          <cell r="K112" t="str">
            <v>N5</v>
          </cell>
          <cell r="L112" t="str">
            <v>M</v>
          </cell>
          <cell r="M112">
            <v>109</v>
          </cell>
        </row>
        <row r="113">
          <cell r="K113" t="str">
            <v>N6</v>
          </cell>
          <cell r="L113" t="str">
            <v>M</v>
          </cell>
          <cell r="M113">
            <v>110</v>
          </cell>
        </row>
        <row r="114">
          <cell r="K114" t="str">
            <v>N7</v>
          </cell>
          <cell r="L114" t="str">
            <v>M</v>
          </cell>
          <cell r="M114">
            <v>111</v>
          </cell>
        </row>
        <row r="115">
          <cell r="K115" t="str">
            <v>N</v>
          </cell>
          <cell r="L115" t="str">
            <v>N</v>
          </cell>
          <cell r="M115">
            <v>112</v>
          </cell>
        </row>
        <row r="116">
          <cell r="K116" t="str">
            <v>O1</v>
          </cell>
          <cell r="L116" t="str">
            <v>N</v>
          </cell>
          <cell r="M116">
            <v>113</v>
          </cell>
        </row>
        <row r="117">
          <cell r="K117" t="str">
            <v>O2</v>
          </cell>
          <cell r="L117" t="str">
            <v>N</v>
          </cell>
          <cell r="M117">
            <v>114</v>
          </cell>
        </row>
        <row r="118">
          <cell r="K118" t="str">
            <v>O3</v>
          </cell>
          <cell r="L118" t="str">
            <v>N</v>
          </cell>
          <cell r="M118">
            <v>115</v>
          </cell>
        </row>
        <row r="119">
          <cell r="K119" t="str">
            <v>O4</v>
          </cell>
          <cell r="L119" t="str">
            <v>N</v>
          </cell>
          <cell r="M119">
            <v>116</v>
          </cell>
        </row>
        <row r="120">
          <cell r="K120" t="str">
            <v>O5</v>
          </cell>
          <cell r="L120" t="str">
            <v>N</v>
          </cell>
          <cell r="M120">
            <v>117</v>
          </cell>
        </row>
        <row r="121">
          <cell r="K121" t="str">
            <v>O6</v>
          </cell>
          <cell r="L121" t="str">
            <v>N</v>
          </cell>
          <cell r="M121">
            <v>118</v>
          </cell>
        </row>
        <row r="122">
          <cell r="K122" t="str">
            <v>O7</v>
          </cell>
          <cell r="L122" t="str">
            <v>N</v>
          </cell>
          <cell r="M122">
            <v>119</v>
          </cell>
        </row>
        <row r="123">
          <cell r="K123" t="str">
            <v>O</v>
          </cell>
          <cell r="L123" t="str">
            <v>O</v>
          </cell>
          <cell r="M123">
            <v>120</v>
          </cell>
        </row>
        <row r="124">
          <cell r="K124" t="str">
            <v>P1</v>
          </cell>
          <cell r="L124" t="str">
            <v>O</v>
          </cell>
          <cell r="M124">
            <v>121</v>
          </cell>
        </row>
        <row r="125">
          <cell r="K125" t="str">
            <v>P2</v>
          </cell>
          <cell r="L125" t="str">
            <v>O</v>
          </cell>
          <cell r="M125">
            <v>122</v>
          </cell>
        </row>
        <row r="126">
          <cell r="K126" t="str">
            <v>P3</v>
          </cell>
          <cell r="L126" t="str">
            <v>O</v>
          </cell>
          <cell r="M126">
            <v>123</v>
          </cell>
        </row>
        <row r="127">
          <cell r="K127" t="str">
            <v>P4</v>
          </cell>
          <cell r="L127" t="str">
            <v>O</v>
          </cell>
          <cell r="M127">
            <v>124</v>
          </cell>
        </row>
        <row r="128">
          <cell r="K128" t="str">
            <v>P5</v>
          </cell>
          <cell r="L128" t="str">
            <v>O</v>
          </cell>
          <cell r="M128">
            <v>125</v>
          </cell>
        </row>
        <row r="129">
          <cell r="K129" t="str">
            <v>P6</v>
          </cell>
          <cell r="L129" t="str">
            <v>O</v>
          </cell>
          <cell r="M129">
            <v>126</v>
          </cell>
        </row>
        <row r="130">
          <cell r="K130" t="str">
            <v>P7</v>
          </cell>
          <cell r="L130" t="str">
            <v>O</v>
          </cell>
          <cell r="M130">
            <v>127</v>
          </cell>
        </row>
        <row r="131">
          <cell r="K131" t="str">
            <v>P</v>
          </cell>
          <cell r="L131" t="str">
            <v>P</v>
          </cell>
          <cell r="M131">
            <v>128</v>
          </cell>
        </row>
        <row r="132">
          <cell r="K132" t="str">
            <v>Q1</v>
          </cell>
          <cell r="L132" t="str">
            <v>P</v>
          </cell>
          <cell r="M132">
            <v>129</v>
          </cell>
        </row>
        <row r="133">
          <cell r="K133" t="str">
            <v>Q2</v>
          </cell>
          <cell r="L133" t="str">
            <v>P</v>
          </cell>
          <cell r="M133">
            <v>130</v>
          </cell>
        </row>
        <row r="134">
          <cell r="K134" t="str">
            <v>Q3</v>
          </cell>
          <cell r="L134" t="str">
            <v>P</v>
          </cell>
          <cell r="M134">
            <v>131</v>
          </cell>
        </row>
        <row r="135">
          <cell r="K135" t="str">
            <v>Q4</v>
          </cell>
          <cell r="L135" t="str">
            <v>P</v>
          </cell>
          <cell r="M135">
            <v>132</v>
          </cell>
        </row>
        <row r="136">
          <cell r="K136" t="str">
            <v>Q5</v>
          </cell>
          <cell r="L136" t="str">
            <v>P</v>
          </cell>
          <cell r="M136">
            <v>133</v>
          </cell>
        </row>
        <row r="137">
          <cell r="K137" t="str">
            <v>Q6</v>
          </cell>
          <cell r="L137" t="str">
            <v>P</v>
          </cell>
          <cell r="M137">
            <v>134</v>
          </cell>
        </row>
        <row r="138">
          <cell r="K138" t="str">
            <v>Q7</v>
          </cell>
          <cell r="L138" t="str">
            <v>P</v>
          </cell>
          <cell r="M138">
            <v>135</v>
          </cell>
        </row>
        <row r="139">
          <cell r="K139" t="str">
            <v>Q</v>
          </cell>
          <cell r="L139" t="str">
            <v>Q</v>
          </cell>
          <cell r="M139">
            <v>136</v>
          </cell>
        </row>
        <row r="140">
          <cell r="K140" t="str">
            <v>R1</v>
          </cell>
          <cell r="L140" t="str">
            <v>Q</v>
          </cell>
          <cell r="M140">
            <v>137</v>
          </cell>
        </row>
        <row r="141">
          <cell r="K141" t="str">
            <v>R2</v>
          </cell>
          <cell r="L141" t="str">
            <v>Q</v>
          </cell>
          <cell r="M141">
            <v>138</v>
          </cell>
        </row>
        <row r="142">
          <cell r="K142" t="str">
            <v>R3</v>
          </cell>
          <cell r="L142" t="str">
            <v>Q</v>
          </cell>
          <cell r="M142">
            <v>139</v>
          </cell>
        </row>
        <row r="143">
          <cell r="K143" t="str">
            <v>R4</v>
          </cell>
          <cell r="L143" t="str">
            <v>Q</v>
          </cell>
          <cell r="M143">
            <v>140</v>
          </cell>
        </row>
        <row r="144">
          <cell r="K144" t="str">
            <v>R5</v>
          </cell>
          <cell r="L144" t="str">
            <v>Q</v>
          </cell>
          <cell r="M144">
            <v>141</v>
          </cell>
        </row>
        <row r="145">
          <cell r="K145" t="str">
            <v>R6</v>
          </cell>
          <cell r="L145" t="str">
            <v>Q</v>
          </cell>
          <cell r="M145">
            <v>142</v>
          </cell>
        </row>
        <row r="146">
          <cell r="K146" t="str">
            <v>R7</v>
          </cell>
          <cell r="L146" t="str">
            <v>Q</v>
          </cell>
          <cell r="M146">
            <v>143</v>
          </cell>
        </row>
        <row r="147">
          <cell r="K147" t="str">
            <v>R</v>
          </cell>
          <cell r="L147" t="str">
            <v>R</v>
          </cell>
          <cell r="M147">
            <v>144</v>
          </cell>
        </row>
        <row r="148">
          <cell r="K148" t="str">
            <v>S1</v>
          </cell>
          <cell r="L148" t="str">
            <v>R</v>
          </cell>
          <cell r="M148">
            <v>145</v>
          </cell>
        </row>
        <row r="149">
          <cell r="K149" t="str">
            <v>S2</v>
          </cell>
          <cell r="L149" t="str">
            <v>R</v>
          </cell>
          <cell r="M149">
            <v>146</v>
          </cell>
        </row>
        <row r="150">
          <cell r="K150" t="str">
            <v>S3</v>
          </cell>
          <cell r="L150" t="str">
            <v>R</v>
          </cell>
          <cell r="M150">
            <v>147</v>
          </cell>
        </row>
        <row r="151">
          <cell r="K151" t="str">
            <v>S4</v>
          </cell>
          <cell r="L151" t="str">
            <v>R</v>
          </cell>
          <cell r="M151">
            <v>148</v>
          </cell>
        </row>
        <row r="152">
          <cell r="K152" t="str">
            <v>S5</v>
          </cell>
          <cell r="L152" t="str">
            <v>R</v>
          </cell>
          <cell r="M152">
            <v>149</v>
          </cell>
        </row>
        <row r="153">
          <cell r="K153" t="str">
            <v>S6</v>
          </cell>
          <cell r="L153" t="str">
            <v>R</v>
          </cell>
          <cell r="M153">
            <v>150</v>
          </cell>
        </row>
        <row r="154">
          <cell r="K154" t="str">
            <v>S7</v>
          </cell>
          <cell r="L154" t="str">
            <v>R</v>
          </cell>
          <cell r="M154">
            <v>151</v>
          </cell>
        </row>
        <row r="155">
          <cell r="K155" t="str">
            <v>S</v>
          </cell>
          <cell r="L155" t="str">
            <v>S</v>
          </cell>
          <cell r="M155">
            <v>152</v>
          </cell>
        </row>
        <row r="156">
          <cell r="K156" t="str">
            <v>T1</v>
          </cell>
          <cell r="L156" t="str">
            <v>S</v>
          </cell>
          <cell r="M156">
            <v>153</v>
          </cell>
        </row>
        <row r="157">
          <cell r="K157" t="str">
            <v>T2</v>
          </cell>
          <cell r="L157" t="str">
            <v>S</v>
          </cell>
          <cell r="M157">
            <v>154</v>
          </cell>
        </row>
        <row r="158">
          <cell r="K158" t="str">
            <v>T3</v>
          </cell>
          <cell r="L158" t="str">
            <v>S</v>
          </cell>
          <cell r="M158">
            <v>155</v>
          </cell>
        </row>
        <row r="159">
          <cell r="K159" t="str">
            <v>T4</v>
          </cell>
          <cell r="L159" t="str">
            <v>S</v>
          </cell>
          <cell r="M159">
            <v>156</v>
          </cell>
        </row>
        <row r="160">
          <cell r="K160" t="str">
            <v>T5</v>
          </cell>
          <cell r="L160" t="str">
            <v>S</v>
          </cell>
          <cell r="M160">
            <v>157</v>
          </cell>
        </row>
        <row r="161">
          <cell r="K161" t="str">
            <v>T6</v>
          </cell>
          <cell r="L161" t="str">
            <v>S</v>
          </cell>
          <cell r="M161">
            <v>158</v>
          </cell>
        </row>
        <row r="162">
          <cell r="K162" t="str">
            <v>T7</v>
          </cell>
          <cell r="L162" t="str">
            <v>S</v>
          </cell>
          <cell r="M162">
            <v>159</v>
          </cell>
        </row>
        <row r="163">
          <cell r="K163" t="str">
            <v>T</v>
          </cell>
          <cell r="L163" t="str">
            <v>T</v>
          </cell>
          <cell r="M163">
            <v>160</v>
          </cell>
        </row>
        <row r="164">
          <cell r="K164" t="str">
            <v>U1</v>
          </cell>
          <cell r="L164" t="str">
            <v>T</v>
          </cell>
          <cell r="M164">
            <v>161</v>
          </cell>
        </row>
        <row r="165">
          <cell r="K165" t="str">
            <v>U2</v>
          </cell>
          <cell r="L165" t="str">
            <v>T</v>
          </cell>
          <cell r="M165">
            <v>162</v>
          </cell>
        </row>
        <row r="166">
          <cell r="K166" t="str">
            <v>U3</v>
          </cell>
          <cell r="L166" t="str">
            <v>T</v>
          </cell>
          <cell r="M166">
            <v>163</v>
          </cell>
        </row>
        <row r="167">
          <cell r="K167" t="str">
            <v>U4</v>
          </cell>
          <cell r="L167" t="str">
            <v>T</v>
          </cell>
          <cell r="M167">
            <v>164</v>
          </cell>
        </row>
        <row r="168">
          <cell r="K168" t="str">
            <v>U5</v>
          </cell>
          <cell r="L168" t="str">
            <v>T</v>
          </cell>
          <cell r="M168">
            <v>165</v>
          </cell>
        </row>
        <row r="169">
          <cell r="K169" t="str">
            <v>U6</v>
          </cell>
          <cell r="L169" t="str">
            <v>T</v>
          </cell>
          <cell r="M169">
            <v>166</v>
          </cell>
        </row>
        <row r="170">
          <cell r="K170" t="str">
            <v>U7</v>
          </cell>
          <cell r="L170" t="str">
            <v>T</v>
          </cell>
          <cell r="M170">
            <v>167</v>
          </cell>
        </row>
        <row r="171">
          <cell r="K171" t="str">
            <v>U</v>
          </cell>
          <cell r="L171" t="str">
            <v>U</v>
          </cell>
          <cell r="M171">
            <v>168</v>
          </cell>
        </row>
        <row r="172">
          <cell r="K172" t="str">
            <v>V1</v>
          </cell>
          <cell r="L172" t="str">
            <v>U</v>
          </cell>
          <cell r="M172">
            <v>169</v>
          </cell>
        </row>
        <row r="173">
          <cell r="K173" t="str">
            <v>V2</v>
          </cell>
          <cell r="L173" t="str">
            <v>U</v>
          </cell>
          <cell r="M173">
            <v>170</v>
          </cell>
        </row>
        <row r="174">
          <cell r="K174" t="str">
            <v>V3</v>
          </cell>
          <cell r="L174" t="str">
            <v>U</v>
          </cell>
          <cell r="M174">
            <v>171</v>
          </cell>
        </row>
        <row r="175">
          <cell r="K175" t="str">
            <v>V4</v>
          </cell>
          <cell r="L175" t="str">
            <v>U</v>
          </cell>
          <cell r="M175">
            <v>172</v>
          </cell>
        </row>
        <row r="176">
          <cell r="K176" t="str">
            <v>V5</v>
          </cell>
          <cell r="L176" t="str">
            <v>U</v>
          </cell>
          <cell r="M176">
            <v>173</v>
          </cell>
        </row>
        <row r="177">
          <cell r="K177" t="str">
            <v>V6</v>
          </cell>
          <cell r="L177" t="str">
            <v>U</v>
          </cell>
          <cell r="M177">
            <v>174</v>
          </cell>
        </row>
        <row r="178">
          <cell r="K178" t="str">
            <v>V7</v>
          </cell>
          <cell r="L178" t="str">
            <v>U</v>
          </cell>
          <cell r="M178">
            <v>175</v>
          </cell>
        </row>
        <row r="179">
          <cell r="K179" t="str">
            <v>V</v>
          </cell>
          <cell r="L179" t="str">
            <v>V</v>
          </cell>
          <cell r="M179">
            <v>176</v>
          </cell>
        </row>
        <row r="180">
          <cell r="K180" t="str">
            <v>W1</v>
          </cell>
          <cell r="L180" t="str">
            <v>V</v>
          </cell>
          <cell r="M180">
            <v>177</v>
          </cell>
        </row>
        <row r="181">
          <cell r="K181" t="str">
            <v>W2</v>
          </cell>
          <cell r="L181" t="str">
            <v>V</v>
          </cell>
          <cell r="M181">
            <v>178</v>
          </cell>
        </row>
        <row r="182">
          <cell r="K182" t="str">
            <v>W3</v>
          </cell>
          <cell r="L182" t="str">
            <v>V</v>
          </cell>
          <cell r="M182">
            <v>179</v>
          </cell>
        </row>
        <row r="183">
          <cell r="K183" t="str">
            <v>W4</v>
          </cell>
          <cell r="L183" t="str">
            <v>V</v>
          </cell>
          <cell r="M183">
            <v>180</v>
          </cell>
        </row>
        <row r="184">
          <cell r="K184" t="str">
            <v>W5</v>
          </cell>
          <cell r="L184" t="str">
            <v>V</v>
          </cell>
          <cell r="M184">
            <v>181</v>
          </cell>
        </row>
        <row r="185">
          <cell r="K185" t="str">
            <v>W6</v>
          </cell>
          <cell r="L185" t="str">
            <v>V</v>
          </cell>
          <cell r="M185">
            <v>182</v>
          </cell>
        </row>
        <row r="186">
          <cell r="K186" t="str">
            <v>W7</v>
          </cell>
          <cell r="L186" t="str">
            <v>V</v>
          </cell>
          <cell r="M186">
            <v>183</v>
          </cell>
        </row>
        <row r="187">
          <cell r="K187" t="str">
            <v>W</v>
          </cell>
          <cell r="L187" t="str">
            <v>W</v>
          </cell>
          <cell r="M187">
            <v>184</v>
          </cell>
        </row>
        <row r="188">
          <cell r="K188" t="str">
            <v>X1</v>
          </cell>
          <cell r="L188" t="str">
            <v>W</v>
          </cell>
          <cell r="M188">
            <v>185</v>
          </cell>
        </row>
        <row r="189">
          <cell r="K189" t="str">
            <v>X2</v>
          </cell>
          <cell r="L189" t="str">
            <v>W</v>
          </cell>
          <cell r="M189">
            <v>186</v>
          </cell>
        </row>
        <row r="190">
          <cell r="K190" t="str">
            <v>X3</v>
          </cell>
          <cell r="L190" t="str">
            <v>W</v>
          </cell>
          <cell r="M190">
            <v>187</v>
          </cell>
        </row>
        <row r="191">
          <cell r="K191" t="str">
            <v>X4</v>
          </cell>
          <cell r="L191" t="str">
            <v>W</v>
          </cell>
          <cell r="M191">
            <v>188</v>
          </cell>
        </row>
        <row r="192">
          <cell r="K192" t="str">
            <v>X5</v>
          </cell>
          <cell r="L192" t="str">
            <v>W</v>
          </cell>
          <cell r="M192">
            <v>189</v>
          </cell>
        </row>
        <row r="193">
          <cell r="K193" t="str">
            <v>X6</v>
          </cell>
          <cell r="L193" t="str">
            <v>W</v>
          </cell>
          <cell r="M193">
            <v>190</v>
          </cell>
        </row>
        <row r="194">
          <cell r="K194" t="str">
            <v>X7</v>
          </cell>
          <cell r="L194" t="str">
            <v>W</v>
          </cell>
          <cell r="M194">
            <v>191</v>
          </cell>
        </row>
        <row r="195">
          <cell r="K195" t="str">
            <v>X</v>
          </cell>
          <cell r="L195" t="str">
            <v>X</v>
          </cell>
          <cell r="M195">
            <v>192</v>
          </cell>
        </row>
        <row r="196">
          <cell r="K196" t="str">
            <v>Y1</v>
          </cell>
          <cell r="L196" t="str">
            <v>X</v>
          </cell>
          <cell r="M196">
            <v>193</v>
          </cell>
        </row>
        <row r="197">
          <cell r="K197" t="str">
            <v>Y2</v>
          </cell>
          <cell r="L197" t="str">
            <v>X</v>
          </cell>
          <cell r="M197">
            <v>194</v>
          </cell>
        </row>
        <row r="198">
          <cell r="K198" t="str">
            <v>Y3</v>
          </cell>
          <cell r="L198" t="str">
            <v>X</v>
          </cell>
          <cell r="M198">
            <v>195</v>
          </cell>
        </row>
        <row r="199">
          <cell r="K199" t="str">
            <v>Y4</v>
          </cell>
          <cell r="L199" t="str">
            <v>X</v>
          </cell>
          <cell r="M199">
            <v>196</v>
          </cell>
        </row>
        <row r="200">
          <cell r="K200" t="str">
            <v>Y5</v>
          </cell>
          <cell r="L200" t="str">
            <v>X</v>
          </cell>
          <cell r="M200">
            <v>197</v>
          </cell>
        </row>
        <row r="201">
          <cell r="K201" t="str">
            <v>Y6</v>
          </cell>
          <cell r="L201" t="str">
            <v>X</v>
          </cell>
          <cell r="M201">
            <v>198</v>
          </cell>
        </row>
        <row r="202">
          <cell r="K202" t="str">
            <v>Y7</v>
          </cell>
          <cell r="L202" t="str">
            <v>X</v>
          </cell>
          <cell r="M202">
            <v>199</v>
          </cell>
        </row>
        <row r="203">
          <cell r="K203" t="str">
            <v>Y</v>
          </cell>
          <cell r="L203" t="str">
            <v>Y</v>
          </cell>
          <cell r="M203">
            <v>200</v>
          </cell>
        </row>
        <row r="204">
          <cell r="K204" t="str">
            <v>Z1</v>
          </cell>
          <cell r="L204" t="str">
            <v>Y</v>
          </cell>
          <cell r="M204">
            <v>201</v>
          </cell>
        </row>
        <row r="205">
          <cell r="K205" t="str">
            <v>Z2</v>
          </cell>
          <cell r="L205" t="str">
            <v>Y</v>
          </cell>
          <cell r="M205">
            <v>202</v>
          </cell>
        </row>
        <row r="206">
          <cell r="K206" t="str">
            <v>Z3</v>
          </cell>
          <cell r="L206" t="str">
            <v>Y</v>
          </cell>
          <cell r="M206">
            <v>203</v>
          </cell>
        </row>
        <row r="207">
          <cell r="K207" t="str">
            <v>Z4</v>
          </cell>
          <cell r="L207" t="str">
            <v>Y</v>
          </cell>
          <cell r="M207">
            <v>204</v>
          </cell>
        </row>
        <row r="208">
          <cell r="K208" t="str">
            <v>Z5</v>
          </cell>
          <cell r="L208" t="str">
            <v>Y</v>
          </cell>
          <cell r="M208">
            <v>205</v>
          </cell>
        </row>
        <row r="209">
          <cell r="K209" t="str">
            <v>Z6</v>
          </cell>
          <cell r="L209" t="str">
            <v>Y</v>
          </cell>
          <cell r="M209">
            <v>206</v>
          </cell>
        </row>
        <row r="210">
          <cell r="K210" t="str">
            <v>Z7</v>
          </cell>
          <cell r="L210" t="str">
            <v>Y</v>
          </cell>
          <cell r="M210">
            <v>207</v>
          </cell>
        </row>
        <row r="211">
          <cell r="K211" t="str">
            <v>Z</v>
          </cell>
          <cell r="L211" t="str">
            <v>Z</v>
          </cell>
          <cell r="M211">
            <v>208</v>
          </cell>
        </row>
        <row r="212">
          <cell r="K212" t="str">
            <v>AA1</v>
          </cell>
          <cell r="L212" t="str">
            <v>Z</v>
          </cell>
          <cell r="M212">
            <v>209</v>
          </cell>
        </row>
        <row r="213">
          <cell r="K213" t="str">
            <v>AA2</v>
          </cell>
          <cell r="L213" t="str">
            <v>Z</v>
          </cell>
          <cell r="M213">
            <v>210</v>
          </cell>
        </row>
        <row r="214">
          <cell r="K214" t="str">
            <v>AA3</v>
          </cell>
          <cell r="L214" t="str">
            <v>Z</v>
          </cell>
          <cell r="M214">
            <v>211</v>
          </cell>
        </row>
        <row r="215">
          <cell r="K215" t="str">
            <v>AA4</v>
          </cell>
          <cell r="L215" t="str">
            <v>Z</v>
          </cell>
          <cell r="M215">
            <v>212</v>
          </cell>
        </row>
        <row r="216">
          <cell r="K216" t="str">
            <v>AA5</v>
          </cell>
          <cell r="L216" t="str">
            <v>Z</v>
          </cell>
          <cell r="M216">
            <v>213</v>
          </cell>
        </row>
        <row r="217">
          <cell r="K217" t="str">
            <v>AA6</v>
          </cell>
          <cell r="L217" t="str">
            <v>Z</v>
          </cell>
          <cell r="M217">
            <v>214</v>
          </cell>
        </row>
        <row r="218">
          <cell r="K218" t="str">
            <v>AA7</v>
          </cell>
          <cell r="L218" t="str">
            <v>Z</v>
          </cell>
          <cell r="M218">
            <v>215</v>
          </cell>
        </row>
        <row r="219">
          <cell r="K219" t="str">
            <v>AA</v>
          </cell>
          <cell r="L219" t="str">
            <v>AA</v>
          </cell>
          <cell r="M219">
            <v>216</v>
          </cell>
        </row>
        <row r="220">
          <cell r="K220" t="str">
            <v>AB1</v>
          </cell>
          <cell r="L220" t="str">
            <v>AA</v>
          </cell>
          <cell r="M220">
            <v>217</v>
          </cell>
        </row>
        <row r="221">
          <cell r="K221" t="str">
            <v>AB2</v>
          </cell>
          <cell r="L221" t="str">
            <v>AA</v>
          </cell>
          <cell r="M221">
            <v>218</v>
          </cell>
        </row>
        <row r="222">
          <cell r="K222" t="str">
            <v>AB3</v>
          </cell>
          <cell r="L222" t="str">
            <v>AA</v>
          </cell>
          <cell r="M222">
            <v>219</v>
          </cell>
        </row>
        <row r="223">
          <cell r="K223" t="str">
            <v>AB4</v>
          </cell>
          <cell r="L223" t="str">
            <v>AA</v>
          </cell>
          <cell r="M223">
            <v>220</v>
          </cell>
        </row>
        <row r="224">
          <cell r="K224" t="str">
            <v>AB5</v>
          </cell>
          <cell r="L224" t="str">
            <v>AA</v>
          </cell>
          <cell r="M224">
            <v>221</v>
          </cell>
        </row>
        <row r="225">
          <cell r="K225" t="str">
            <v>AB6</v>
          </cell>
          <cell r="L225" t="str">
            <v>AA</v>
          </cell>
          <cell r="M225">
            <v>222</v>
          </cell>
        </row>
        <row r="226">
          <cell r="K226" t="str">
            <v>AB7</v>
          </cell>
          <cell r="L226" t="str">
            <v>AA</v>
          </cell>
          <cell r="M226">
            <v>223</v>
          </cell>
        </row>
        <row r="227">
          <cell r="K227" t="str">
            <v>AB</v>
          </cell>
          <cell r="L227" t="str">
            <v>AB</v>
          </cell>
          <cell r="M227">
            <v>224</v>
          </cell>
        </row>
        <row r="228">
          <cell r="K228" t="str">
            <v>AC1</v>
          </cell>
          <cell r="L228" t="str">
            <v>AB</v>
          </cell>
          <cell r="M228">
            <v>225</v>
          </cell>
        </row>
        <row r="229">
          <cell r="K229" t="str">
            <v>AC2</v>
          </cell>
          <cell r="L229" t="str">
            <v>AB</v>
          </cell>
          <cell r="M229">
            <v>226</v>
          </cell>
        </row>
        <row r="230">
          <cell r="K230" t="str">
            <v>AC3</v>
          </cell>
          <cell r="L230" t="str">
            <v>AB</v>
          </cell>
          <cell r="M230">
            <v>227</v>
          </cell>
        </row>
        <row r="231">
          <cell r="K231" t="str">
            <v>AC4</v>
          </cell>
          <cell r="L231" t="str">
            <v>AB</v>
          </cell>
          <cell r="M231">
            <v>228</v>
          </cell>
        </row>
        <row r="232">
          <cell r="K232" t="str">
            <v>AC5</v>
          </cell>
          <cell r="L232" t="str">
            <v>AB</v>
          </cell>
          <cell r="M232">
            <v>229</v>
          </cell>
        </row>
        <row r="233">
          <cell r="K233" t="str">
            <v>AC6</v>
          </cell>
          <cell r="L233" t="str">
            <v>AB</v>
          </cell>
          <cell r="M233">
            <v>230</v>
          </cell>
        </row>
        <row r="234">
          <cell r="K234" t="str">
            <v>AC7</v>
          </cell>
          <cell r="L234" t="str">
            <v>AB</v>
          </cell>
          <cell r="M234">
            <v>231</v>
          </cell>
        </row>
        <row r="235">
          <cell r="K235" t="str">
            <v>AC</v>
          </cell>
          <cell r="L235" t="str">
            <v>AC</v>
          </cell>
          <cell r="M235">
            <v>232</v>
          </cell>
        </row>
        <row r="236">
          <cell r="K236" t="str">
            <v>AD1</v>
          </cell>
          <cell r="L236" t="str">
            <v>AC</v>
          </cell>
          <cell r="M236">
            <v>233</v>
          </cell>
        </row>
        <row r="237">
          <cell r="K237" t="str">
            <v>AD2</v>
          </cell>
          <cell r="L237" t="str">
            <v>AC</v>
          </cell>
          <cell r="M237">
            <v>234</v>
          </cell>
        </row>
        <row r="238">
          <cell r="K238" t="str">
            <v>AD3</v>
          </cell>
          <cell r="L238" t="str">
            <v>AC</v>
          </cell>
          <cell r="M238">
            <v>235</v>
          </cell>
        </row>
        <row r="239">
          <cell r="K239" t="str">
            <v>AD4</v>
          </cell>
          <cell r="L239" t="str">
            <v>AC</v>
          </cell>
          <cell r="M239">
            <v>236</v>
          </cell>
        </row>
        <row r="240">
          <cell r="K240" t="str">
            <v>AD5</v>
          </cell>
          <cell r="L240" t="str">
            <v>AC</v>
          </cell>
          <cell r="M240">
            <v>237</v>
          </cell>
        </row>
        <row r="241">
          <cell r="K241" t="str">
            <v>AD6</v>
          </cell>
          <cell r="L241" t="str">
            <v>AC</v>
          </cell>
          <cell r="M241">
            <v>238</v>
          </cell>
        </row>
        <row r="242">
          <cell r="K242" t="str">
            <v>AD7</v>
          </cell>
          <cell r="L242" t="str">
            <v>AC</v>
          </cell>
          <cell r="M242">
            <v>239</v>
          </cell>
        </row>
        <row r="243">
          <cell r="K243" t="str">
            <v>AD</v>
          </cell>
          <cell r="L243" t="str">
            <v>AD</v>
          </cell>
          <cell r="M243">
            <v>240</v>
          </cell>
        </row>
        <row r="244">
          <cell r="K244" t="str">
            <v>AE1</v>
          </cell>
          <cell r="L244" t="str">
            <v>AD</v>
          </cell>
          <cell r="M244">
            <v>241</v>
          </cell>
        </row>
        <row r="245">
          <cell r="K245" t="str">
            <v>AE2</v>
          </cell>
          <cell r="L245" t="str">
            <v>AD</v>
          </cell>
          <cell r="M245">
            <v>242</v>
          </cell>
        </row>
        <row r="246">
          <cell r="K246" t="str">
            <v>AE3</v>
          </cell>
          <cell r="L246" t="str">
            <v>AD</v>
          </cell>
          <cell r="M246">
            <v>243</v>
          </cell>
        </row>
        <row r="247">
          <cell r="K247" t="str">
            <v>AE4</v>
          </cell>
          <cell r="L247" t="str">
            <v>AD</v>
          </cell>
          <cell r="M247">
            <v>244</v>
          </cell>
        </row>
        <row r="248">
          <cell r="K248" t="str">
            <v>AE5</v>
          </cell>
          <cell r="L248" t="str">
            <v>AD</v>
          </cell>
          <cell r="M248">
            <v>245</v>
          </cell>
        </row>
        <row r="249">
          <cell r="K249" t="str">
            <v>AE6</v>
          </cell>
          <cell r="L249" t="str">
            <v>AD</v>
          </cell>
          <cell r="M249">
            <v>246</v>
          </cell>
        </row>
        <row r="250">
          <cell r="K250" t="str">
            <v>AE7</v>
          </cell>
          <cell r="L250" t="str">
            <v>AD</v>
          </cell>
          <cell r="M250">
            <v>247</v>
          </cell>
        </row>
        <row r="251">
          <cell r="K251" t="str">
            <v>AE</v>
          </cell>
          <cell r="L251" t="str">
            <v>AE</v>
          </cell>
          <cell r="M251">
            <v>248</v>
          </cell>
        </row>
        <row r="252">
          <cell r="K252" t="str">
            <v>AF1</v>
          </cell>
          <cell r="L252" t="str">
            <v>AE</v>
          </cell>
          <cell r="M252">
            <v>249</v>
          </cell>
        </row>
        <row r="253">
          <cell r="K253" t="str">
            <v>AF2</v>
          </cell>
          <cell r="L253" t="str">
            <v>AE</v>
          </cell>
          <cell r="M253">
            <v>250</v>
          </cell>
        </row>
        <row r="254">
          <cell r="K254" t="str">
            <v>AF3</v>
          </cell>
          <cell r="L254" t="str">
            <v>AE</v>
          </cell>
          <cell r="M254">
            <v>251</v>
          </cell>
        </row>
        <row r="255">
          <cell r="K255" t="str">
            <v>AF4</v>
          </cell>
          <cell r="L255" t="str">
            <v>AE</v>
          </cell>
          <cell r="M255">
            <v>252</v>
          </cell>
        </row>
        <row r="256">
          <cell r="K256" t="str">
            <v>AF5</v>
          </cell>
          <cell r="L256" t="str">
            <v>AE</v>
          </cell>
          <cell r="M256">
            <v>253</v>
          </cell>
        </row>
        <row r="257">
          <cell r="K257" t="str">
            <v>AF6</v>
          </cell>
          <cell r="L257" t="str">
            <v>AE</v>
          </cell>
          <cell r="M257">
            <v>254</v>
          </cell>
        </row>
        <row r="258">
          <cell r="K258" t="str">
            <v>AF7</v>
          </cell>
          <cell r="L258" t="str">
            <v>AE</v>
          </cell>
          <cell r="M258">
            <v>255</v>
          </cell>
        </row>
        <row r="259">
          <cell r="K259" t="str">
            <v>AF</v>
          </cell>
          <cell r="L259" t="str">
            <v>AF</v>
          </cell>
          <cell r="M259">
            <v>256</v>
          </cell>
        </row>
        <row r="260">
          <cell r="K260" t="str">
            <v>AG1</v>
          </cell>
          <cell r="L260" t="str">
            <v>AF</v>
          </cell>
          <cell r="M260">
            <v>257</v>
          </cell>
        </row>
        <row r="261">
          <cell r="K261" t="str">
            <v>AG2</v>
          </cell>
          <cell r="L261" t="str">
            <v>AF</v>
          </cell>
          <cell r="M261">
            <v>258</v>
          </cell>
        </row>
        <row r="262">
          <cell r="K262" t="str">
            <v>AG3</v>
          </cell>
          <cell r="L262" t="str">
            <v>AF</v>
          </cell>
          <cell r="M262">
            <v>259</v>
          </cell>
        </row>
        <row r="263">
          <cell r="K263" t="str">
            <v>AG4</v>
          </cell>
          <cell r="L263" t="str">
            <v>AF</v>
          </cell>
          <cell r="M263">
            <v>260</v>
          </cell>
        </row>
        <row r="264">
          <cell r="K264" t="str">
            <v>AG5</v>
          </cell>
          <cell r="L264" t="str">
            <v>AF</v>
          </cell>
          <cell r="M264">
            <v>261</v>
          </cell>
        </row>
        <row r="265">
          <cell r="K265" t="str">
            <v>AG6</v>
          </cell>
          <cell r="L265" t="str">
            <v>AF</v>
          </cell>
          <cell r="M265">
            <v>262</v>
          </cell>
        </row>
        <row r="266">
          <cell r="K266" t="str">
            <v>AG7</v>
          </cell>
          <cell r="L266" t="str">
            <v>AF</v>
          </cell>
          <cell r="M266">
            <v>263</v>
          </cell>
        </row>
        <row r="267">
          <cell r="K267" t="str">
            <v>AG</v>
          </cell>
          <cell r="L267" t="str">
            <v>AG</v>
          </cell>
          <cell r="M267">
            <v>264</v>
          </cell>
        </row>
        <row r="268">
          <cell r="K268" t="str">
            <v>AH1</v>
          </cell>
          <cell r="L268" t="str">
            <v>AG</v>
          </cell>
          <cell r="M268">
            <v>265</v>
          </cell>
        </row>
        <row r="269">
          <cell r="K269" t="str">
            <v>AH2</v>
          </cell>
          <cell r="L269" t="str">
            <v>AG</v>
          </cell>
          <cell r="M269">
            <v>266</v>
          </cell>
        </row>
        <row r="270">
          <cell r="K270" t="str">
            <v>AH3</v>
          </cell>
          <cell r="L270" t="str">
            <v>AG</v>
          </cell>
          <cell r="M270">
            <v>267</v>
          </cell>
        </row>
        <row r="271">
          <cell r="K271" t="str">
            <v>AH4</v>
          </cell>
          <cell r="L271" t="str">
            <v>AG</v>
          </cell>
          <cell r="M271">
            <v>268</v>
          </cell>
        </row>
        <row r="272">
          <cell r="K272" t="str">
            <v>AH5</v>
          </cell>
          <cell r="L272" t="str">
            <v>AG</v>
          </cell>
          <cell r="M272">
            <v>269</v>
          </cell>
        </row>
        <row r="273">
          <cell r="K273" t="str">
            <v>AH6</v>
          </cell>
          <cell r="L273" t="str">
            <v>AG</v>
          </cell>
          <cell r="M273">
            <v>270</v>
          </cell>
        </row>
        <row r="274">
          <cell r="K274" t="str">
            <v>AH7</v>
          </cell>
          <cell r="L274" t="str">
            <v>AG</v>
          </cell>
          <cell r="M274">
            <v>271</v>
          </cell>
        </row>
        <row r="275">
          <cell r="K275" t="str">
            <v>AH</v>
          </cell>
          <cell r="L275" t="str">
            <v>AH</v>
          </cell>
          <cell r="M275">
            <v>272</v>
          </cell>
        </row>
        <row r="276">
          <cell r="K276" t="str">
            <v>AI1</v>
          </cell>
          <cell r="L276" t="str">
            <v>AH</v>
          </cell>
          <cell r="M276">
            <v>273</v>
          </cell>
        </row>
        <row r="277">
          <cell r="K277" t="str">
            <v>AI2</v>
          </cell>
          <cell r="L277" t="str">
            <v>AH</v>
          </cell>
          <cell r="M277">
            <v>274</v>
          </cell>
        </row>
        <row r="278">
          <cell r="K278" t="str">
            <v>AI3</v>
          </cell>
          <cell r="L278" t="str">
            <v>AH</v>
          </cell>
          <cell r="M278">
            <v>275</v>
          </cell>
        </row>
        <row r="279">
          <cell r="K279" t="str">
            <v>AI4</v>
          </cell>
          <cell r="L279" t="str">
            <v>AH</v>
          </cell>
          <cell r="M279">
            <v>276</v>
          </cell>
        </row>
        <row r="280">
          <cell r="K280" t="str">
            <v>AI5</v>
          </cell>
          <cell r="L280" t="str">
            <v>AH</v>
          </cell>
          <cell r="M280">
            <v>277</v>
          </cell>
        </row>
        <row r="281">
          <cell r="K281" t="str">
            <v>AI6</v>
          </cell>
          <cell r="L281" t="str">
            <v>AH</v>
          </cell>
          <cell r="M281">
            <v>278</v>
          </cell>
        </row>
        <row r="282">
          <cell r="K282" t="str">
            <v>AI7</v>
          </cell>
          <cell r="L282" t="str">
            <v>AH</v>
          </cell>
          <cell r="M282">
            <v>279</v>
          </cell>
        </row>
        <row r="283">
          <cell r="K283" t="str">
            <v>AI</v>
          </cell>
          <cell r="L283" t="str">
            <v>AI</v>
          </cell>
          <cell r="M283">
            <v>280</v>
          </cell>
        </row>
        <row r="284">
          <cell r="K284" t="str">
            <v>AJ1</v>
          </cell>
          <cell r="L284" t="str">
            <v>AI</v>
          </cell>
          <cell r="M284">
            <v>281</v>
          </cell>
        </row>
        <row r="285">
          <cell r="K285" t="str">
            <v>AJ2</v>
          </cell>
          <cell r="L285" t="str">
            <v>AI</v>
          </cell>
          <cell r="M285">
            <v>282</v>
          </cell>
        </row>
        <row r="286">
          <cell r="K286" t="str">
            <v>AJ3</v>
          </cell>
          <cell r="L286" t="str">
            <v>AI</v>
          </cell>
          <cell r="M286">
            <v>283</v>
          </cell>
        </row>
        <row r="287">
          <cell r="K287" t="str">
            <v>AJ4</v>
          </cell>
          <cell r="L287" t="str">
            <v>AI</v>
          </cell>
          <cell r="M287">
            <v>284</v>
          </cell>
        </row>
        <row r="288">
          <cell r="K288" t="str">
            <v>AJ5</v>
          </cell>
          <cell r="L288" t="str">
            <v>AI</v>
          </cell>
          <cell r="M288">
            <v>285</v>
          </cell>
        </row>
        <row r="289">
          <cell r="K289" t="str">
            <v>AJ6</v>
          </cell>
          <cell r="L289" t="str">
            <v>AI</v>
          </cell>
          <cell r="M289">
            <v>286</v>
          </cell>
        </row>
        <row r="290">
          <cell r="K290" t="str">
            <v>AJ7</v>
          </cell>
          <cell r="L290" t="str">
            <v>AI</v>
          </cell>
          <cell r="M290">
            <v>287</v>
          </cell>
        </row>
        <row r="291">
          <cell r="K291" t="str">
            <v>AJ</v>
          </cell>
          <cell r="L291" t="str">
            <v>AJ</v>
          </cell>
          <cell r="M291">
            <v>288</v>
          </cell>
        </row>
        <row r="292">
          <cell r="K292" t="str">
            <v>AK1</v>
          </cell>
          <cell r="L292" t="str">
            <v>AJ</v>
          </cell>
          <cell r="M292">
            <v>289</v>
          </cell>
        </row>
        <row r="293">
          <cell r="K293" t="str">
            <v>AK2</v>
          </cell>
          <cell r="L293" t="str">
            <v>AJ</v>
          </cell>
          <cell r="M293">
            <v>290</v>
          </cell>
        </row>
        <row r="294">
          <cell r="K294" t="str">
            <v>AK3</v>
          </cell>
          <cell r="L294" t="str">
            <v>AJ</v>
          </cell>
          <cell r="M294">
            <v>291</v>
          </cell>
        </row>
        <row r="295">
          <cell r="K295" t="str">
            <v>AK4</v>
          </cell>
          <cell r="L295" t="str">
            <v>AJ</v>
          </cell>
          <cell r="M295">
            <v>292</v>
          </cell>
        </row>
        <row r="296">
          <cell r="K296" t="str">
            <v>AK5</v>
          </cell>
          <cell r="L296" t="str">
            <v>AJ</v>
          </cell>
          <cell r="M296">
            <v>293</v>
          </cell>
        </row>
        <row r="297">
          <cell r="K297" t="str">
            <v>AK6</v>
          </cell>
          <cell r="L297" t="str">
            <v>AJ</v>
          </cell>
          <cell r="M297">
            <v>294</v>
          </cell>
        </row>
        <row r="298">
          <cell r="K298" t="str">
            <v>AK7</v>
          </cell>
          <cell r="L298" t="str">
            <v>AJ</v>
          </cell>
          <cell r="M298">
            <v>295</v>
          </cell>
        </row>
        <row r="299">
          <cell r="K299" t="str">
            <v>AK</v>
          </cell>
          <cell r="L299" t="str">
            <v>AK</v>
          </cell>
          <cell r="M299">
            <v>296</v>
          </cell>
        </row>
        <row r="300">
          <cell r="K300" t="str">
            <v>AL1</v>
          </cell>
          <cell r="L300" t="str">
            <v>AK</v>
          </cell>
          <cell r="M300">
            <v>297</v>
          </cell>
        </row>
        <row r="301">
          <cell r="K301" t="str">
            <v>AL2</v>
          </cell>
          <cell r="L301" t="str">
            <v>AK</v>
          </cell>
          <cell r="M301">
            <v>298</v>
          </cell>
        </row>
        <row r="302">
          <cell r="K302" t="str">
            <v>AL3</v>
          </cell>
          <cell r="L302" t="str">
            <v>AK</v>
          </cell>
          <cell r="M302">
            <v>299</v>
          </cell>
        </row>
        <row r="303">
          <cell r="K303" t="str">
            <v>AL4</v>
          </cell>
          <cell r="L303" t="str">
            <v>AK</v>
          </cell>
          <cell r="M303">
            <v>300</v>
          </cell>
        </row>
        <row r="304">
          <cell r="K304" t="str">
            <v>AL5</v>
          </cell>
          <cell r="L304" t="str">
            <v>AK</v>
          </cell>
          <cell r="M304">
            <v>301</v>
          </cell>
        </row>
        <row r="305">
          <cell r="K305" t="str">
            <v>AL6</v>
          </cell>
          <cell r="L305" t="str">
            <v>AK</v>
          </cell>
          <cell r="M305">
            <v>302</v>
          </cell>
        </row>
        <row r="306">
          <cell r="K306" t="str">
            <v>AL7</v>
          </cell>
          <cell r="L306" t="str">
            <v>AK</v>
          </cell>
          <cell r="M306">
            <v>303</v>
          </cell>
        </row>
        <row r="307">
          <cell r="K307" t="str">
            <v>AL</v>
          </cell>
          <cell r="L307" t="str">
            <v>AL</v>
          </cell>
          <cell r="M307">
            <v>304</v>
          </cell>
        </row>
        <row r="308">
          <cell r="K308" t="str">
            <v>AM1</v>
          </cell>
          <cell r="L308" t="str">
            <v>AL</v>
          </cell>
          <cell r="M308">
            <v>305</v>
          </cell>
        </row>
        <row r="309">
          <cell r="K309" t="str">
            <v>AM2</v>
          </cell>
          <cell r="L309" t="str">
            <v>AL</v>
          </cell>
          <cell r="M309">
            <v>306</v>
          </cell>
        </row>
        <row r="310">
          <cell r="K310" t="str">
            <v>AM3</v>
          </cell>
          <cell r="L310" t="str">
            <v>AL</v>
          </cell>
          <cell r="M310">
            <v>307</v>
          </cell>
        </row>
        <row r="311">
          <cell r="K311" t="str">
            <v>AM4</v>
          </cell>
          <cell r="L311" t="str">
            <v>AL</v>
          </cell>
          <cell r="M311">
            <v>308</v>
          </cell>
        </row>
        <row r="312">
          <cell r="K312" t="str">
            <v>AM5</v>
          </cell>
          <cell r="L312" t="str">
            <v>AL</v>
          </cell>
          <cell r="M312">
            <v>309</v>
          </cell>
        </row>
        <row r="313">
          <cell r="K313" t="str">
            <v>AM6</v>
          </cell>
          <cell r="L313" t="str">
            <v>AL</v>
          </cell>
          <cell r="M313">
            <v>310</v>
          </cell>
        </row>
        <row r="314">
          <cell r="K314" t="str">
            <v>AM7</v>
          </cell>
          <cell r="L314" t="str">
            <v>AL</v>
          </cell>
          <cell r="M314">
            <v>311</v>
          </cell>
        </row>
        <row r="315">
          <cell r="K315" t="str">
            <v>AM</v>
          </cell>
          <cell r="L315" t="str">
            <v>AM</v>
          </cell>
          <cell r="M315">
            <v>312</v>
          </cell>
        </row>
        <row r="316">
          <cell r="K316" t="str">
            <v>AN1</v>
          </cell>
          <cell r="L316" t="str">
            <v>AM</v>
          </cell>
          <cell r="M316">
            <v>313</v>
          </cell>
        </row>
        <row r="317">
          <cell r="K317" t="str">
            <v>AN2</v>
          </cell>
          <cell r="L317" t="str">
            <v>AM</v>
          </cell>
          <cell r="M317">
            <v>314</v>
          </cell>
        </row>
        <row r="318">
          <cell r="K318" t="str">
            <v>AN3</v>
          </cell>
          <cell r="L318" t="str">
            <v>AM</v>
          </cell>
          <cell r="M318">
            <v>315</v>
          </cell>
        </row>
        <row r="319">
          <cell r="K319" t="str">
            <v>AN4</v>
          </cell>
          <cell r="L319" t="str">
            <v>AM</v>
          </cell>
          <cell r="M319">
            <v>316</v>
          </cell>
        </row>
        <row r="320">
          <cell r="K320" t="str">
            <v>AN5</v>
          </cell>
          <cell r="L320" t="str">
            <v>AM</v>
          </cell>
          <cell r="M320">
            <v>317</v>
          </cell>
        </row>
        <row r="321">
          <cell r="K321" t="str">
            <v>AN6</v>
          </cell>
          <cell r="L321" t="str">
            <v>AM</v>
          </cell>
          <cell r="M321">
            <v>318</v>
          </cell>
        </row>
        <row r="322">
          <cell r="K322" t="str">
            <v>AN7</v>
          </cell>
          <cell r="L322" t="str">
            <v>AM</v>
          </cell>
          <cell r="M322">
            <v>319</v>
          </cell>
        </row>
        <row r="323">
          <cell r="K323" t="str">
            <v>AN</v>
          </cell>
          <cell r="L323" t="str">
            <v>AN</v>
          </cell>
          <cell r="M323">
            <v>320</v>
          </cell>
        </row>
        <row r="324">
          <cell r="K324" t="str">
            <v>AO1</v>
          </cell>
          <cell r="L324" t="str">
            <v>AN</v>
          </cell>
          <cell r="M324">
            <v>321</v>
          </cell>
        </row>
        <row r="325">
          <cell r="K325" t="str">
            <v>AO2</v>
          </cell>
          <cell r="L325" t="str">
            <v>AN</v>
          </cell>
          <cell r="M325">
            <v>322</v>
          </cell>
        </row>
        <row r="326">
          <cell r="K326" t="str">
            <v>AO3</v>
          </cell>
          <cell r="L326" t="str">
            <v>AN</v>
          </cell>
          <cell r="M326">
            <v>323</v>
          </cell>
        </row>
        <row r="327">
          <cell r="K327" t="str">
            <v>AO4</v>
          </cell>
          <cell r="L327" t="str">
            <v>AN</v>
          </cell>
          <cell r="M327">
            <v>324</v>
          </cell>
        </row>
        <row r="328">
          <cell r="K328" t="str">
            <v>AO5</v>
          </cell>
          <cell r="L328" t="str">
            <v>AN</v>
          </cell>
          <cell r="M328">
            <v>325</v>
          </cell>
        </row>
        <row r="329">
          <cell r="K329" t="str">
            <v>AO6</v>
          </cell>
          <cell r="L329" t="str">
            <v>AN</v>
          </cell>
          <cell r="M329">
            <v>326</v>
          </cell>
        </row>
        <row r="330">
          <cell r="K330" t="str">
            <v>AO7</v>
          </cell>
          <cell r="L330" t="str">
            <v>AN</v>
          </cell>
          <cell r="M330">
            <v>327</v>
          </cell>
        </row>
        <row r="331">
          <cell r="K331" t="str">
            <v>AO</v>
          </cell>
          <cell r="L331" t="str">
            <v>AO</v>
          </cell>
          <cell r="M331">
            <v>328</v>
          </cell>
        </row>
        <row r="332">
          <cell r="K332" t="str">
            <v>AP1</v>
          </cell>
          <cell r="L332" t="str">
            <v>AO</v>
          </cell>
          <cell r="M332">
            <v>329</v>
          </cell>
        </row>
        <row r="333">
          <cell r="K333" t="str">
            <v>AP2</v>
          </cell>
          <cell r="L333" t="str">
            <v>AO</v>
          </cell>
          <cell r="M333">
            <v>330</v>
          </cell>
        </row>
        <row r="334">
          <cell r="K334" t="str">
            <v>AP3</v>
          </cell>
          <cell r="L334" t="str">
            <v>AO</v>
          </cell>
          <cell r="M334">
            <v>331</v>
          </cell>
        </row>
        <row r="335">
          <cell r="K335" t="str">
            <v>AP4</v>
          </cell>
          <cell r="L335" t="str">
            <v>AO</v>
          </cell>
          <cell r="M335">
            <v>332</v>
          </cell>
        </row>
        <row r="336">
          <cell r="K336" t="str">
            <v>AP5</v>
          </cell>
          <cell r="L336" t="str">
            <v>AO</v>
          </cell>
          <cell r="M336">
            <v>333</v>
          </cell>
        </row>
        <row r="337">
          <cell r="K337" t="str">
            <v>AP6</v>
          </cell>
          <cell r="L337" t="str">
            <v>AO</v>
          </cell>
          <cell r="M337">
            <v>334</v>
          </cell>
        </row>
        <row r="338">
          <cell r="K338" t="str">
            <v>AP7</v>
          </cell>
          <cell r="L338" t="str">
            <v>AO</v>
          </cell>
          <cell r="M338">
            <v>335</v>
          </cell>
        </row>
        <row r="339">
          <cell r="K339" t="str">
            <v>AP</v>
          </cell>
          <cell r="L339" t="str">
            <v>AP</v>
          </cell>
          <cell r="M339">
            <v>336</v>
          </cell>
        </row>
        <row r="340">
          <cell r="K340" t="str">
            <v>AQ1</v>
          </cell>
          <cell r="L340" t="str">
            <v>AP</v>
          </cell>
          <cell r="M340">
            <v>337</v>
          </cell>
        </row>
        <row r="341">
          <cell r="K341" t="str">
            <v>AQ2</v>
          </cell>
          <cell r="L341" t="str">
            <v>AP</v>
          </cell>
          <cell r="M341">
            <v>338</v>
          </cell>
        </row>
        <row r="342">
          <cell r="K342" t="str">
            <v>AQ3</v>
          </cell>
          <cell r="L342" t="str">
            <v>AP</v>
          </cell>
          <cell r="M342">
            <v>339</v>
          </cell>
        </row>
        <row r="343">
          <cell r="K343" t="str">
            <v>AQ4</v>
          </cell>
          <cell r="L343" t="str">
            <v>AP</v>
          </cell>
          <cell r="M343">
            <v>340</v>
          </cell>
        </row>
        <row r="344">
          <cell r="K344" t="str">
            <v>AQ5</v>
          </cell>
          <cell r="L344" t="str">
            <v>AP</v>
          </cell>
          <cell r="M344">
            <v>341</v>
          </cell>
        </row>
        <row r="345">
          <cell r="K345" t="str">
            <v>AQ6</v>
          </cell>
          <cell r="L345" t="str">
            <v>AP</v>
          </cell>
          <cell r="M345">
            <v>342</v>
          </cell>
        </row>
        <row r="346">
          <cell r="K346" t="str">
            <v>AQ7</v>
          </cell>
          <cell r="L346" t="str">
            <v>AP</v>
          </cell>
          <cell r="M346">
            <v>343</v>
          </cell>
        </row>
        <row r="347">
          <cell r="K347" t="str">
            <v>AQ</v>
          </cell>
          <cell r="L347" t="str">
            <v>AQ</v>
          </cell>
          <cell r="M347">
            <v>344</v>
          </cell>
        </row>
        <row r="348">
          <cell r="K348" t="str">
            <v>AR1</v>
          </cell>
          <cell r="L348" t="str">
            <v>AQ</v>
          </cell>
          <cell r="M348">
            <v>345</v>
          </cell>
        </row>
        <row r="349">
          <cell r="K349" t="str">
            <v>AR2</v>
          </cell>
          <cell r="L349" t="str">
            <v>AQ</v>
          </cell>
          <cell r="M349">
            <v>346</v>
          </cell>
        </row>
        <row r="350">
          <cell r="K350" t="str">
            <v>AR3</v>
          </cell>
          <cell r="L350" t="str">
            <v>AQ</v>
          </cell>
          <cell r="M350">
            <v>347</v>
          </cell>
        </row>
        <row r="351">
          <cell r="K351" t="str">
            <v>AR4</v>
          </cell>
          <cell r="L351" t="str">
            <v>AQ</v>
          </cell>
          <cell r="M351">
            <v>348</v>
          </cell>
        </row>
        <row r="352">
          <cell r="K352" t="str">
            <v>AR5</v>
          </cell>
          <cell r="L352" t="str">
            <v>AQ</v>
          </cell>
          <cell r="M352">
            <v>349</v>
          </cell>
        </row>
        <row r="353">
          <cell r="K353" t="str">
            <v>AR6</v>
          </cell>
          <cell r="L353" t="str">
            <v>AQ</v>
          </cell>
          <cell r="M353">
            <v>350</v>
          </cell>
        </row>
        <row r="354">
          <cell r="K354" t="str">
            <v>AR7</v>
          </cell>
          <cell r="L354" t="str">
            <v>AQ</v>
          </cell>
          <cell r="M354">
            <v>351</v>
          </cell>
        </row>
        <row r="355">
          <cell r="K355" t="str">
            <v>AR</v>
          </cell>
          <cell r="L355" t="str">
            <v>AR</v>
          </cell>
          <cell r="M355">
            <v>352</v>
          </cell>
        </row>
        <row r="356">
          <cell r="K356" t="str">
            <v>AS1</v>
          </cell>
          <cell r="L356" t="str">
            <v>AR</v>
          </cell>
          <cell r="M356">
            <v>353</v>
          </cell>
        </row>
        <row r="357">
          <cell r="K357" t="str">
            <v>AS2</v>
          </cell>
          <cell r="L357" t="str">
            <v>AR</v>
          </cell>
          <cell r="M357">
            <v>354</v>
          </cell>
        </row>
        <row r="358">
          <cell r="K358" t="str">
            <v>AS3</v>
          </cell>
          <cell r="L358" t="str">
            <v>AR</v>
          </cell>
          <cell r="M358">
            <v>355</v>
          </cell>
        </row>
        <row r="359">
          <cell r="K359" t="str">
            <v>AS4</v>
          </cell>
          <cell r="L359" t="str">
            <v>AR</v>
          </cell>
          <cell r="M359">
            <v>356</v>
          </cell>
        </row>
        <row r="360">
          <cell r="K360" t="str">
            <v>AS5</v>
          </cell>
          <cell r="L360" t="str">
            <v>AR</v>
          </cell>
          <cell r="M360">
            <v>357</v>
          </cell>
        </row>
        <row r="361">
          <cell r="K361" t="str">
            <v>AS6</v>
          </cell>
          <cell r="L361" t="str">
            <v>AR</v>
          </cell>
          <cell r="M361">
            <v>358</v>
          </cell>
        </row>
        <row r="362">
          <cell r="K362" t="str">
            <v>AS7</v>
          </cell>
          <cell r="L362" t="str">
            <v>AR</v>
          </cell>
          <cell r="M362">
            <v>359</v>
          </cell>
        </row>
        <row r="363">
          <cell r="K363" t="str">
            <v>AS</v>
          </cell>
          <cell r="L363" t="str">
            <v>AS</v>
          </cell>
          <cell r="M363">
            <v>360</v>
          </cell>
        </row>
        <row r="364">
          <cell r="K364" t="str">
            <v>AT1</v>
          </cell>
          <cell r="L364" t="str">
            <v>AS</v>
          </cell>
          <cell r="M364">
            <v>361</v>
          </cell>
        </row>
        <row r="365">
          <cell r="K365" t="str">
            <v>AT2</v>
          </cell>
          <cell r="L365" t="str">
            <v>AS</v>
          </cell>
          <cell r="M365">
            <v>362</v>
          </cell>
        </row>
        <row r="366">
          <cell r="K366" t="str">
            <v>AT3</v>
          </cell>
          <cell r="L366" t="str">
            <v>AS</v>
          </cell>
          <cell r="M366">
            <v>363</v>
          </cell>
        </row>
        <row r="367">
          <cell r="K367" t="str">
            <v>AT4</v>
          </cell>
          <cell r="L367" t="str">
            <v>AS</v>
          </cell>
          <cell r="M367">
            <v>364</v>
          </cell>
        </row>
        <row r="368">
          <cell r="K368" t="str">
            <v>AT5</v>
          </cell>
          <cell r="L368" t="str">
            <v>AS</v>
          </cell>
          <cell r="M368">
            <v>365</v>
          </cell>
        </row>
        <row r="369">
          <cell r="K369" t="str">
            <v>AT6</v>
          </cell>
          <cell r="L369" t="str">
            <v>AS</v>
          </cell>
          <cell r="M369">
            <v>366</v>
          </cell>
        </row>
        <row r="370">
          <cell r="K370" t="str">
            <v>AT7</v>
          </cell>
          <cell r="L370" t="str">
            <v>AS</v>
          </cell>
          <cell r="M370">
            <v>367</v>
          </cell>
        </row>
        <row r="371">
          <cell r="K371" t="str">
            <v>AT</v>
          </cell>
          <cell r="L371" t="str">
            <v>AT</v>
          </cell>
          <cell r="M371">
            <v>368</v>
          </cell>
        </row>
        <row r="372">
          <cell r="K372" t="str">
            <v>AU1</v>
          </cell>
          <cell r="L372" t="str">
            <v>AT</v>
          </cell>
          <cell r="M372">
            <v>369</v>
          </cell>
        </row>
        <row r="373">
          <cell r="K373" t="str">
            <v>AU2</v>
          </cell>
          <cell r="L373" t="str">
            <v>AT</v>
          </cell>
          <cell r="M373">
            <v>370</v>
          </cell>
        </row>
        <row r="374">
          <cell r="K374" t="str">
            <v>AU3</v>
          </cell>
          <cell r="L374" t="str">
            <v>AT</v>
          </cell>
          <cell r="M374">
            <v>371</v>
          </cell>
        </row>
        <row r="375">
          <cell r="K375" t="str">
            <v>AU4</v>
          </cell>
          <cell r="L375" t="str">
            <v>AT</v>
          </cell>
          <cell r="M375">
            <v>372</v>
          </cell>
        </row>
        <row r="376">
          <cell r="K376" t="str">
            <v>AU5</v>
          </cell>
          <cell r="L376" t="str">
            <v>AT</v>
          </cell>
          <cell r="M376">
            <v>373</v>
          </cell>
        </row>
        <row r="377">
          <cell r="K377" t="str">
            <v>AU6</v>
          </cell>
          <cell r="L377" t="str">
            <v>AT</v>
          </cell>
          <cell r="M377">
            <v>374</v>
          </cell>
        </row>
        <row r="378">
          <cell r="K378" t="str">
            <v>AU7</v>
          </cell>
          <cell r="L378" t="str">
            <v>AT</v>
          </cell>
          <cell r="M378">
            <v>375</v>
          </cell>
        </row>
        <row r="379">
          <cell r="K379" t="str">
            <v>AU</v>
          </cell>
          <cell r="L379" t="str">
            <v>AU</v>
          </cell>
          <cell r="M379">
            <v>376</v>
          </cell>
        </row>
        <row r="380">
          <cell r="K380" t="str">
            <v>AV1</v>
          </cell>
          <cell r="L380" t="str">
            <v>AU</v>
          </cell>
          <cell r="M380">
            <v>377</v>
          </cell>
        </row>
        <row r="381">
          <cell r="K381" t="str">
            <v>AV2</v>
          </cell>
          <cell r="L381" t="str">
            <v>AU</v>
          </cell>
          <cell r="M381">
            <v>378</v>
          </cell>
        </row>
        <row r="382">
          <cell r="K382" t="str">
            <v>AV3</v>
          </cell>
          <cell r="L382" t="str">
            <v>AU</v>
          </cell>
          <cell r="M382">
            <v>379</v>
          </cell>
        </row>
        <row r="383">
          <cell r="K383" t="str">
            <v>AV4</v>
          </cell>
          <cell r="L383" t="str">
            <v>AU</v>
          </cell>
          <cell r="M383">
            <v>380</v>
          </cell>
        </row>
        <row r="384">
          <cell r="K384" t="str">
            <v>AV5</v>
          </cell>
          <cell r="L384" t="str">
            <v>AU</v>
          </cell>
          <cell r="M384">
            <v>381</v>
          </cell>
        </row>
        <row r="385">
          <cell r="K385" t="str">
            <v>AV6</v>
          </cell>
          <cell r="L385" t="str">
            <v>AU</v>
          </cell>
          <cell r="M385">
            <v>382</v>
          </cell>
        </row>
        <row r="386">
          <cell r="K386" t="str">
            <v>AV7</v>
          </cell>
          <cell r="L386" t="str">
            <v>AU</v>
          </cell>
          <cell r="M386">
            <v>383</v>
          </cell>
        </row>
        <row r="387">
          <cell r="K387" t="str">
            <v>AV</v>
          </cell>
          <cell r="L387" t="str">
            <v>AV</v>
          </cell>
          <cell r="M387">
            <v>384</v>
          </cell>
        </row>
        <row r="388">
          <cell r="K388" t="str">
            <v>AW1</v>
          </cell>
          <cell r="L388" t="str">
            <v>AV</v>
          </cell>
          <cell r="M388">
            <v>385</v>
          </cell>
        </row>
        <row r="389">
          <cell r="K389" t="str">
            <v>AW2</v>
          </cell>
          <cell r="L389" t="str">
            <v>AV</v>
          </cell>
          <cell r="M389">
            <v>386</v>
          </cell>
        </row>
        <row r="390">
          <cell r="K390" t="str">
            <v>AW3</v>
          </cell>
          <cell r="L390" t="str">
            <v>AV</v>
          </cell>
          <cell r="M390">
            <v>387</v>
          </cell>
        </row>
        <row r="391">
          <cell r="K391" t="str">
            <v>AW4</v>
          </cell>
          <cell r="L391" t="str">
            <v>AV</v>
          </cell>
          <cell r="M391">
            <v>388</v>
          </cell>
        </row>
        <row r="392">
          <cell r="K392" t="str">
            <v>AW5</v>
          </cell>
          <cell r="L392" t="str">
            <v>AV</v>
          </cell>
          <cell r="M392">
            <v>389</v>
          </cell>
        </row>
        <row r="393">
          <cell r="K393" t="str">
            <v>AW6</v>
          </cell>
          <cell r="L393" t="str">
            <v>AV</v>
          </cell>
          <cell r="M393">
            <v>390</v>
          </cell>
        </row>
        <row r="394">
          <cell r="K394" t="str">
            <v>AW7</v>
          </cell>
          <cell r="L394" t="str">
            <v>AV</v>
          </cell>
          <cell r="M394">
            <v>391</v>
          </cell>
        </row>
        <row r="395">
          <cell r="K395" t="str">
            <v>AW</v>
          </cell>
          <cell r="L395" t="str">
            <v>AW</v>
          </cell>
          <cell r="M395">
            <v>392</v>
          </cell>
        </row>
        <row r="396">
          <cell r="K396" t="str">
            <v>AX1</v>
          </cell>
          <cell r="L396" t="str">
            <v>AW</v>
          </cell>
          <cell r="M396">
            <v>393</v>
          </cell>
        </row>
        <row r="397">
          <cell r="K397" t="str">
            <v>AX2</v>
          </cell>
          <cell r="L397" t="str">
            <v>AW</v>
          </cell>
          <cell r="M397">
            <v>394</v>
          </cell>
        </row>
        <row r="398">
          <cell r="K398" t="str">
            <v>AX3</v>
          </cell>
          <cell r="L398" t="str">
            <v>AW</v>
          </cell>
          <cell r="M398">
            <v>395</v>
          </cell>
        </row>
        <row r="399">
          <cell r="K399" t="str">
            <v>AX4</v>
          </cell>
          <cell r="L399" t="str">
            <v>AW</v>
          </cell>
          <cell r="M399">
            <v>396</v>
          </cell>
        </row>
        <row r="400">
          <cell r="K400" t="str">
            <v>AX5</v>
          </cell>
          <cell r="L400" t="str">
            <v>AW</v>
          </cell>
          <cell r="M400">
            <v>397</v>
          </cell>
        </row>
        <row r="401">
          <cell r="K401" t="str">
            <v>AX6</v>
          </cell>
          <cell r="L401" t="str">
            <v>AW</v>
          </cell>
          <cell r="M401">
            <v>398</v>
          </cell>
        </row>
        <row r="402">
          <cell r="K402" t="str">
            <v>AX7</v>
          </cell>
          <cell r="L402" t="str">
            <v>AW</v>
          </cell>
          <cell r="M402">
            <v>399</v>
          </cell>
        </row>
        <row r="403">
          <cell r="K403" t="str">
            <v>AX</v>
          </cell>
          <cell r="L403" t="str">
            <v>AX</v>
          </cell>
          <cell r="M403">
            <v>400</v>
          </cell>
        </row>
        <row r="404">
          <cell r="K404" t="str">
            <v>AY1</v>
          </cell>
          <cell r="L404" t="str">
            <v>AX</v>
          </cell>
          <cell r="M404">
            <v>401</v>
          </cell>
        </row>
        <row r="405">
          <cell r="K405" t="str">
            <v>AY2</v>
          </cell>
          <cell r="L405" t="str">
            <v>AX</v>
          </cell>
          <cell r="M405">
            <v>402</v>
          </cell>
        </row>
        <row r="406">
          <cell r="K406" t="str">
            <v>AY3</v>
          </cell>
          <cell r="L406" t="str">
            <v>AX</v>
          </cell>
          <cell r="M406">
            <v>403</v>
          </cell>
        </row>
        <row r="407">
          <cell r="K407" t="str">
            <v>AY4</v>
          </cell>
          <cell r="L407" t="str">
            <v>AX</v>
          </cell>
          <cell r="M407">
            <v>404</v>
          </cell>
        </row>
        <row r="408">
          <cell r="K408" t="str">
            <v>AY5</v>
          </cell>
          <cell r="L408" t="str">
            <v>AX</v>
          </cell>
          <cell r="M408">
            <v>405</v>
          </cell>
        </row>
        <row r="409">
          <cell r="K409" t="str">
            <v>AY6</v>
          </cell>
          <cell r="L409" t="str">
            <v>AX</v>
          </cell>
          <cell r="M409">
            <v>406</v>
          </cell>
        </row>
        <row r="410">
          <cell r="K410" t="str">
            <v>AY7</v>
          </cell>
          <cell r="L410" t="str">
            <v>AX</v>
          </cell>
          <cell r="M410">
            <v>407</v>
          </cell>
        </row>
        <row r="411">
          <cell r="K411" t="str">
            <v>AY</v>
          </cell>
          <cell r="L411" t="str">
            <v>AY</v>
          </cell>
          <cell r="M411">
            <v>408</v>
          </cell>
        </row>
        <row r="412">
          <cell r="K412" t="str">
            <v>AZ1</v>
          </cell>
          <cell r="L412" t="str">
            <v>AY</v>
          </cell>
          <cell r="M412">
            <v>409</v>
          </cell>
        </row>
        <row r="413">
          <cell r="K413" t="str">
            <v>AZ2</v>
          </cell>
          <cell r="L413" t="str">
            <v>AY</v>
          </cell>
          <cell r="M413">
            <v>410</v>
          </cell>
        </row>
        <row r="414">
          <cell r="K414" t="str">
            <v>AZ3</v>
          </cell>
          <cell r="L414" t="str">
            <v>AY</v>
          </cell>
          <cell r="M414">
            <v>411</v>
          </cell>
        </row>
        <row r="415">
          <cell r="K415" t="str">
            <v>AZ4</v>
          </cell>
          <cell r="L415" t="str">
            <v>AY</v>
          </cell>
          <cell r="M415">
            <v>412</v>
          </cell>
        </row>
        <row r="416">
          <cell r="K416" t="str">
            <v>AZ5</v>
          </cell>
          <cell r="L416" t="str">
            <v>AY</v>
          </cell>
          <cell r="M416">
            <v>413</v>
          </cell>
        </row>
        <row r="417">
          <cell r="K417" t="str">
            <v>AZ6</v>
          </cell>
          <cell r="L417" t="str">
            <v>AY</v>
          </cell>
          <cell r="M417">
            <v>414</v>
          </cell>
        </row>
        <row r="418">
          <cell r="K418" t="str">
            <v>AZ7</v>
          </cell>
          <cell r="L418" t="str">
            <v>AY</v>
          </cell>
          <cell r="M418">
            <v>415</v>
          </cell>
        </row>
        <row r="419">
          <cell r="K419" t="str">
            <v>AZ</v>
          </cell>
          <cell r="L419" t="str">
            <v>AZ</v>
          </cell>
          <cell r="M419">
            <v>416</v>
          </cell>
        </row>
        <row r="420">
          <cell r="K420" t="str">
            <v>BA1</v>
          </cell>
          <cell r="L420" t="str">
            <v>AZ</v>
          </cell>
          <cell r="M420">
            <v>417</v>
          </cell>
        </row>
        <row r="421">
          <cell r="K421" t="str">
            <v>BA2</v>
          </cell>
          <cell r="L421" t="str">
            <v>AZ</v>
          </cell>
          <cell r="M421">
            <v>418</v>
          </cell>
        </row>
        <row r="422">
          <cell r="K422" t="str">
            <v>BA3</v>
          </cell>
          <cell r="L422" t="str">
            <v>AZ</v>
          </cell>
          <cell r="M422">
            <v>419</v>
          </cell>
        </row>
        <row r="423">
          <cell r="K423" t="str">
            <v>BA4</v>
          </cell>
          <cell r="L423" t="str">
            <v>AZ</v>
          </cell>
          <cell r="M423">
            <v>420</v>
          </cell>
        </row>
        <row r="424">
          <cell r="K424" t="str">
            <v>BA5</v>
          </cell>
          <cell r="L424" t="str">
            <v>AZ</v>
          </cell>
          <cell r="M424">
            <v>421</v>
          </cell>
        </row>
        <row r="425">
          <cell r="K425" t="str">
            <v>BA6</v>
          </cell>
          <cell r="L425" t="str">
            <v>AZ</v>
          </cell>
          <cell r="M425">
            <v>422</v>
          </cell>
        </row>
        <row r="426">
          <cell r="K426" t="str">
            <v>BA7</v>
          </cell>
          <cell r="L426" t="str">
            <v>AZ</v>
          </cell>
          <cell r="M426">
            <v>423</v>
          </cell>
        </row>
        <row r="427">
          <cell r="K427" t="str">
            <v>BA</v>
          </cell>
          <cell r="L427" t="str">
            <v>BA</v>
          </cell>
          <cell r="M427">
            <v>424</v>
          </cell>
        </row>
        <row r="428">
          <cell r="K428" t="str">
            <v>BB1</v>
          </cell>
          <cell r="L428" t="str">
            <v>BA</v>
          </cell>
          <cell r="M428">
            <v>425</v>
          </cell>
        </row>
        <row r="429">
          <cell r="K429" t="str">
            <v>BB2</v>
          </cell>
          <cell r="L429" t="str">
            <v>BA</v>
          </cell>
          <cell r="M429">
            <v>426</v>
          </cell>
        </row>
        <row r="430">
          <cell r="K430" t="str">
            <v>BB3</v>
          </cell>
          <cell r="L430" t="str">
            <v>BA</v>
          </cell>
          <cell r="M430">
            <v>427</v>
          </cell>
        </row>
        <row r="431">
          <cell r="K431" t="str">
            <v>BB4</v>
          </cell>
          <cell r="L431" t="str">
            <v>BA</v>
          </cell>
          <cell r="M431">
            <v>428</v>
          </cell>
        </row>
        <row r="432">
          <cell r="K432" t="str">
            <v>BB5</v>
          </cell>
          <cell r="L432" t="str">
            <v>BA</v>
          </cell>
          <cell r="M432">
            <v>429</v>
          </cell>
        </row>
        <row r="433">
          <cell r="K433" t="str">
            <v>BB6</v>
          </cell>
          <cell r="L433" t="str">
            <v>BA</v>
          </cell>
          <cell r="M433">
            <v>430</v>
          </cell>
        </row>
        <row r="434">
          <cell r="K434" t="str">
            <v>BB7</v>
          </cell>
          <cell r="L434" t="str">
            <v>BA</v>
          </cell>
          <cell r="M434">
            <v>431</v>
          </cell>
        </row>
        <row r="435">
          <cell r="K435" t="str">
            <v>BB</v>
          </cell>
          <cell r="L435" t="str">
            <v>BB</v>
          </cell>
          <cell r="M435">
            <v>432</v>
          </cell>
        </row>
        <row r="436">
          <cell r="K436" t="str">
            <v>BC1</v>
          </cell>
          <cell r="L436" t="str">
            <v>BB</v>
          </cell>
          <cell r="M436">
            <v>433</v>
          </cell>
        </row>
        <row r="437">
          <cell r="K437" t="str">
            <v>BC2</v>
          </cell>
          <cell r="L437" t="str">
            <v>BB</v>
          </cell>
          <cell r="M437">
            <v>434</v>
          </cell>
        </row>
        <row r="438">
          <cell r="K438" t="str">
            <v>BC3</v>
          </cell>
          <cell r="L438" t="str">
            <v>BB</v>
          </cell>
          <cell r="M438">
            <v>435</v>
          </cell>
        </row>
        <row r="439">
          <cell r="K439" t="str">
            <v>BC4</v>
          </cell>
          <cell r="L439" t="str">
            <v>BB</v>
          </cell>
          <cell r="M439">
            <v>436</v>
          </cell>
        </row>
        <row r="440">
          <cell r="K440" t="str">
            <v>BC5</v>
          </cell>
          <cell r="L440" t="str">
            <v>BB</v>
          </cell>
          <cell r="M440">
            <v>437</v>
          </cell>
        </row>
        <row r="441">
          <cell r="K441" t="str">
            <v>BC6</v>
          </cell>
          <cell r="L441" t="str">
            <v>BB</v>
          </cell>
          <cell r="M441">
            <v>438</v>
          </cell>
        </row>
        <row r="442">
          <cell r="K442" t="str">
            <v>BC7</v>
          </cell>
          <cell r="L442" t="str">
            <v>BB</v>
          </cell>
          <cell r="M442">
            <v>439</v>
          </cell>
        </row>
        <row r="443">
          <cell r="K443" t="str">
            <v>BC</v>
          </cell>
          <cell r="L443" t="str">
            <v>BC</v>
          </cell>
          <cell r="M443">
            <v>440</v>
          </cell>
        </row>
        <row r="444">
          <cell r="K444" t="str">
            <v>BD1</v>
          </cell>
          <cell r="L444" t="str">
            <v>BC</v>
          </cell>
          <cell r="M444">
            <v>441</v>
          </cell>
        </row>
        <row r="445">
          <cell r="K445" t="str">
            <v>BD2</v>
          </cell>
          <cell r="L445" t="str">
            <v>BC</v>
          </cell>
          <cell r="M445">
            <v>442</v>
          </cell>
        </row>
        <row r="446">
          <cell r="K446" t="str">
            <v>BD3</v>
          </cell>
          <cell r="L446" t="str">
            <v>BC</v>
          </cell>
          <cell r="M446">
            <v>443</v>
          </cell>
        </row>
        <row r="447">
          <cell r="K447" t="str">
            <v>BD4</v>
          </cell>
          <cell r="L447" t="str">
            <v>BC</v>
          </cell>
          <cell r="M447">
            <v>444</v>
          </cell>
        </row>
        <row r="448">
          <cell r="K448" t="str">
            <v>BD5</v>
          </cell>
          <cell r="L448" t="str">
            <v>BC</v>
          </cell>
          <cell r="M448">
            <v>445</v>
          </cell>
        </row>
        <row r="449">
          <cell r="K449" t="str">
            <v>BD6</v>
          </cell>
          <cell r="L449" t="str">
            <v>BC</v>
          </cell>
          <cell r="M449">
            <v>446</v>
          </cell>
        </row>
        <row r="450">
          <cell r="K450" t="str">
            <v>BD7</v>
          </cell>
          <cell r="L450" t="str">
            <v>BC</v>
          </cell>
          <cell r="M450">
            <v>447</v>
          </cell>
        </row>
        <row r="451">
          <cell r="K451" t="str">
            <v>BD</v>
          </cell>
          <cell r="L451" t="str">
            <v>BD</v>
          </cell>
          <cell r="M451">
            <v>448</v>
          </cell>
        </row>
        <row r="452">
          <cell r="K452" t="str">
            <v>BE1</v>
          </cell>
          <cell r="L452" t="str">
            <v>BD</v>
          </cell>
          <cell r="M452">
            <v>449</v>
          </cell>
        </row>
        <row r="453">
          <cell r="K453" t="str">
            <v>BE2</v>
          </cell>
          <cell r="L453" t="str">
            <v>BD</v>
          </cell>
          <cell r="M453">
            <v>450</v>
          </cell>
        </row>
        <row r="454">
          <cell r="K454" t="str">
            <v>BE3</v>
          </cell>
          <cell r="L454" t="str">
            <v>BD</v>
          </cell>
          <cell r="M454">
            <v>451</v>
          </cell>
        </row>
        <row r="455">
          <cell r="K455" t="str">
            <v>BE4</v>
          </cell>
          <cell r="L455" t="str">
            <v>BD</v>
          </cell>
          <cell r="M455">
            <v>452</v>
          </cell>
        </row>
        <row r="456">
          <cell r="K456" t="str">
            <v>BE5</v>
          </cell>
          <cell r="L456" t="str">
            <v>BD</v>
          </cell>
          <cell r="M456">
            <v>453</v>
          </cell>
        </row>
        <row r="457">
          <cell r="K457" t="str">
            <v>BE6</v>
          </cell>
          <cell r="L457" t="str">
            <v>BD</v>
          </cell>
          <cell r="M457">
            <v>454</v>
          </cell>
        </row>
        <row r="458">
          <cell r="K458" t="str">
            <v>BE7</v>
          </cell>
          <cell r="L458" t="str">
            <v>BD</v>
          </cell>
          <cell r="M458">
            <v>455</v>
          </cell>
        </row>
        <row r="459">
          <cell r="K459" t="str">
            <v>BE</v>
          </cell>
          <cell r="L459" t="str">
            <v>BE</v>
          </cell>
          <cell r="M459">
            <v>456</v>
          </cell>
        </row>
        <row r="460">
          <cell r="K460" t="str">
            <v>BF1</v>
          </cell>
          <cell r="L460" t="str">
            <v>BE</v>
          </cell>
          <cell r="M460">
            <v>457</v>
          </cell>
        </row>
        <row r="461">
          <cell r="K461" t="str">
            <v>BF2</v>
          </cell>
          <cell r="L461" t="str">
            <v>BE</v>
          </cell>
          <cell r="M461">
            <v>458</v>
          </cell>
        </row>
        <row r="462">
          <cell r="K462" t="str">
            <v>BF3</v>
          </cell>
          <cell r="L462" t="str">
            <v>BE</v>
          </cell>
          <cell r="M462">
            <v>459</v>
          </cell>
        </row>
        <row r="463">
          <cell r="K463" t="str">
            <v>BF4</v>
          </cell>
          <cell r="L463" t="str">
            <v>BE</v>
          </cell>
          <cell r="M463">
            <v>460</v>
          </cell>
        </row>
        <row r="464">
          <cell r="K464" t="str">
            <v>BF5</v>
          </cell>
          <cell r="L464" t="str">
            <v>BE</v>
          </cell>
          <cell r="M464">
            <v>461</v>
          </cell>
        </row>
        <row r="465">
          <cell r="K465" t="str">
            <v>BF6</v>
          </cell>
          <cell r="L465" t="str">
            <v>BE</v>
          </cell>
          <cell r="M465">
            <v>462</v>
          </cell>
        </row>
        <row r="466">
          <cell r="K466" t="str">
            <v>BF7</v>
          </cell>
          <cell r="L466" t="str">
            <v>BE</v>
          </cell>
          <cell r="M466">
            <v>463</v>
          </cell>
        </row>
        <row r="467">
          <cell r="K467" t="str">
            <v>BF</v>
          </cell>
          <cell r="L467" t="str">
            <v>BF</v>
          </cell>
          <cell r="M467">
            <v>464</v>
          </cell>
        </row>
        <row r="468">
          <cell r="K468" t="str">
            <v>BG1</v>
          </cell>
          <cell r="L468" t="str">
            <v>BF</v>
          </cell>
          <cell r="M468">
            <v>465</v>
          </cell>
        </row>
        <row r="469">
          <cell r="K469" t="str">
            <v>BG2</v>
          </cell>
          <cell r="L469" t="str">
            <v>BF</v>
          </cell>
          <cell r="M469">
            <v>466</v>
          </cell>
        </row>
        <row r="470">
          <cell r="K470" t="str">
            <v>BG3</v>
          </cell>
          <cell r="L470" t="str">
            <v>BF</v>
          </cell>
          <cell r="M470">
            <v>467</v>
          </cell>
        </row>
        <row r="471">
          <cell r="K471" t="str">
            <v>BG4</v>
          </cell>
          <cell r="L471" t="str">
            <v>BF</v>
          </cell>
          <cell r="M471">
            <v>468</v>
          </cell>
        </row>
        <row r="472">
          <cell r="K472" t="str">
            <v>BG5</v>
          </cell>
          <cell r="L472" t="str">
            <v>BF</v>
          </cell>
          <cell r="M472">
            <v>469</v>
          </cell>
        </row>
        <row r="473">
          <cell r="K473" t="str">
            <v>BG6</v>
          </cell>
          <cell r="L473" t="str">
            <v>BF</v>
          </cell>
          <cell r="M473">
            <v>470</v>
          </cell>
        </row>
        <row r="474">
          <cell r="K474" t="str">
            <v>BG7</v>
          </cell>
          <cell r="L474" t="str">
            <v>BF</v>
          </cell>
          <cell r="M474">
            <v>471</v>
          </cell>
        </row>
        <row r="475">
          <cell r="K475" t="str">
            <v>BG</v>
          </cell>
          <cell r="L475" t="str">
            <v>BG</v>
          </cell>
          <cell r="M475">
            <v>472</v>
          </cell>
        </row>
        <row r="476">
          <cell r="K476" t="str">
            <v>BH1</v>
          </cell>
          <cell r="L476" t="str">
            <v>BG</v>
          </cell>
          <cell r="M476">
            <v>473</v>
          </cell>
        </row>
        <row r="477">
          <cell r="K477" t="str">
            <v>BH2</v>
          </cell>
          <cell r="L477" t="str">
            <v>BG</v>
          </cell>
          <cell r="M477">
            <v>474</v>
          </cell>
        </row>
        <row r="478">
          <cell r="K478" t="str">
            <v>BH3</v>
          </cell>
          <cell r="L478" t="str">
            <v>BG</v>
          </cell>
          <cell r="M478">
            <v>475</v>
          </cell>
        </row>
        <row r="479">
          <cell r="K479" t="str">
            <v>BH4</v>
          </cell>
          <cell r="L479" t="str">
            <v>BG</v>
          </cell>
          <cell r="M479">
            <v>476</v>
          </cell>
        </row>
        <row r="480">
          <cell r="K480" t="str">
            <v>BH5</v>
          </cell>
          <cell r="L480" t="str">
            <v>BG</v>
          </cell>
          <cell r="M480">
            <v>477</v>
          </cell>
        </row>
        <row r="481">
          <cell r="K481" t="str">
            <v>BH6</v>
          </cell>
          <cell r="L481" t="str">
            <v>BG</v>
          </cell>
          <cell r="M481">
            <v>478</v>
          </cell>
        </row>
        <row r="482">
          <cell r="K482" t="str">
            <v>BH7</v>
          </cell>
          <cell r="L482" t="str">
            <v>BG</v>
          </cell>
          <cell r="M482">
            <v>479</v>
          </cell>
        </row>
        <row r="483">
          <cell r="K483" t="str">
            <v>BH</v>
          </cell>
          <cell r="L483" t="str">
            <v>BH</v>
          </cell>
          <cell r="M483">
            <v>480</v>
          </cell>
        </row>
        <row r="484">
          <cell r="K484" t="str">
            <v>BI1</v>
          </cell>
          <cell r="L484" t="str">
            <v>BH</v>
          </cell>
          <cell r="M484">
            <v>481</v>
          </cell>
        </row>
        <row r="485">
          <cell r="K485" t="str">
            <v>BI2</v>
          </cell>
          <cell r="L485" t="str">
            <v>BH</v>
          </cell>
          <cell r="M485">
            <v>482</v>
          </cell>
        </row>
        <row r="486">
          <cell r="K486" t="str">
            <v>BI3</v>
          </cell>
          <cell r="L486" t="str">
            <v>BH</v>
          </cell>
          <cell r="M486">
            <v>483</v>
          </cell>
        </row>
        <row r="487">
          <cell r="K487" t="str">
            <v>BI4</v>
          </cell>
          <cell r="L487" t="str">
            <v>BH</v>
          </cell>
          <cell r="M487">
            <v>484</v>
          </cell>
        </row>
        <row r="488">
          <cell r="K488" t="str">
            <v>BI5</v>
          </cell>
          <cell r="L488" t="str">
            <v>BH</v>
          </cell>
          <cell r="M488">
            <v>485</v>
          </cell>
        </row>
        <row r="489">
          <cell r="K489" t="str">
            <v>BI6</v>
          </cell>
          <cell r="L489" t="str">
            <v>BH</v>
          </cell>
          <cell r="M489">
            <v>486</v>
          </cell>
        </row>
        <row r="490">
          <cell r="K490" t="str">
            <v>BI7</v>
          </cell>
          <cell r="L490" t="str">
            <v>BH</v>
          </cell>
          <cell r="M490">
            <v>487</v>
          </cell>
        </row>
        <row r="491">
          <cell r="K491" t="str">
            <v>BI</v>
          </cell>
          <cell r="L491" t="str">
            <v>BI</v>
          </cell>
          <cell r="M491">
            <v>488</v>
          </cell>
        </row>
        <row r="492">
          <cell r="K492" t="str">
            <v>BJ1</v>
          </cell>
          <cell r="L492" t="str">
            <v>BI</v>
          </cell>
          <cell r="M492">
            <v>489</v>
          </cell>
        </row>
        <row r="493">
          <cell r="K493" t="str">
            <v>BJ2</v>
          </cell>
          <cell r="L493" t="str">
            <v>BI</v>
          </cell>
          <cell r="M493">
            <v>490</v>
          </cell>
        </row>
        <row r="494">
          <cell r="K494" t="str">
            <v>BJ3</v>
          </cell>
          <cell r="L494" t="str">
            <v>BI</v>
          </cell>
          <cell r="M494">
            <v>491</v>
          </cell>
        </row>
        <row r="495">
          <cell r="K495" t="str">
            <v>BJ4</v>
          </cell>
          <cell r="L495" t="str">
            <v>BI</v>
          </cell>
          <cell r="M495">
            <v>492</v>
          </cell>
        </row>
        <row r="496">
          <cell r="K496" t="str">
            <v>BJ5</v>
          </cell>
          <cell r="L496" t="str">
            <v>BI</v>
          </cell>
          <cell r="M496">
            <v>493</v>
          </cell>
        </row>
        <row r="497">
          <cell r="K497" t="str">
            <v>BJ6</v>
          </cell>
          <cell r="L497" t="str">
            <v>BI</v>
          </cell>
          <cell r="M497">
            <v>494</v>
          </cell>
        </row>
        <row r="498">
          <cell r="K498" t="str">
            <v>BJ7</v>
          </cell>
          <cell r="L498" t="str">
            <v>BI</v>
          </cell>
          <cell r="M498">
            <v>495</v>
          </cell>
        </row>
        <row r="499">
          <cell r="K499" t="str">
            <v>BJ</v>
          </cell>
          <cell r="L499" t="str">
            <v>BJ</v>
          </cell>
          <cell r="M499">
            <v>496</v>
          </cell>
        </row>
        <row r="500">
          <cell r="K500" t="str">
            <v>BK1</v>
          </cell>
          <cell r="L500" t="str">
            <v>BJ</v>
          </cell>
          <cell r="M500">
            <v>497</v>
          </cell>
        </row>
        <row r="501">
          <cell r="K501" t="str">
            <v>BK2</v>
          </cell>
          <cell r="L501" t="str">
            <v>BJ</v>
          </cell>
          <cell r="M501">
            <v>498</v>
          </cell>
        </row>
        <row r="502">
          <cell r="K502" t="str">
            <v>BK3</v>
          </cell>
          <cell r="L502" t="str">
            <v>BJ</v>
          </cell>
          <cell r="M502">
            <v>499</v>
          </cell>
        </row>
        <row r="503">
          <cell r="K503" t="str">
            <v>BK4</v>
          </cell>
          <cell r="L503" t="str">
            <v>BJ</v>
          </cell>
          <cell r="M503">
            <v>500</v>
          </cell>
        </row>
        <row r="504">
          <cell r="K504" t="str">
            <v>BK5</v>
          </cell>
          <cell r="L504" t="str">
            <v>BJ</v>
          </cell>
          <cell r="M504">
            <v>501</v>
          </cell>
        </row>
        <row r="505">
          <cell r="K505" t="str">
            <v>BK6</v>
          </cell>
          <cell r="L505" t="str">
            <v>BJ</v>
          </cell>
          <cell r="M505">
            <v>502</v>
          </cell>
        </row>
        <row r="506">
          <cell r="K506" t="str">
            <v>BK7</v>
          </cell>
          <cell r="L506" t="str">
            <v>BJ</v>
          </cell>
          <cell r="M506">
            <v>503</v>
          </cell>
        </row>
        <row r="507">
          <cell r="K507" t="str">
            <v>BK</v>
          </cell>
          <cell r="L507" t="str">
            <v>BK</v>
          </cell>
          <cell r="M507">
            <v>504</v>
          </cell>
        </row>
        <row r="508">
          <cell r="K508" t="str">
            <v>BL1</v>
          </cell>
          <cell r="L508" t="str">
            <v>BK</v>
          </cell>
          <cell r="M508">
            <v>505</v>
          </cell>
        </row>
        <row r="509">
          <cell r="K509" t="str">
            <v>BL2</v>
          </cell>
          <cell r="L509" t="str">
            <v>BK</v>
          </cell>
          <cell r="M509">
            <v>506</v>
          </cell>
        </row>
        <row r="510">
          <cell r="K510" t="str">
            <v>BL3</v>
          </cell>
          <cell r="L510" t="str">
            <v>BK</v>
          </cell>
          <cell r="M510">
            <v>507</v>
          </cell>
        </row>
        <row r="511">
          <cell r="K511" t="str">
            <v>BL4</v>
          </cell>
          <cell r="L511" t="str">
            <v>BK</v>
          </cell>
          <cell r="M511">
            <v>508</v>
          </cell>
        </row>
        <row r="512">
          <cell r="K512" t="str">
            <v>BL5</v>
          </cell>
          <cell r="L512" t="str">
            <v>BK</v>
          </cell>
          <cell r="M512">
            <v>509</v>
          </cell>
        </row>
        <row r="513">
          <cell r="K513" t="str">
            <v>BL6</v>
          </cell>
          <cell r="L513" t="str">
            <v>BK</v>
          </cell>
          <cell r="M513">
            <v>510</v>
          </cell>
        </row>
        <row r="514">
          <cell r="K514" t="str">
            <v>BL7</v>
          </cell>
          <cell r="L514" t="str">
            <v>BK</v>
          </cell>
          <cell r="M514">
            <v>511</v>
          </cell>
        </row>
        <row r="515">
          <cell r="K515" t="str">
            <v>BL</v>
          </cell>
          <cell r="L515" t="str">
            <v>BL</v>
          </cell>
          <cell r="M515">
            <v>512</v>
          </cell>
        </row>
        <row r="516">
          <cell r="K516" t="str">
            <v>BM1</v>
          </cell>
          <cell r="L516" t="str">
            <v>BL</v>
          </cell>
          <cell r="M516">
            <v>513</v>
          </cell>
        </row>
        <row r="517">
          <cell r="K517" t="str">
            <v>BM2</v>
          </cell>
          <cell r="L517" t="str">
            <v>BL</v>
          </cell>
          <cell r="M517">
            <v>514</v>
          </cell>
        </row>
        <row r="518">
          <cell r="K518" t="str">
            <v>BM3</v>
          </cell>
          <cell r="L518" t="str">
            <v>BL</v>
          </cell>
          <cell r="M518">
            <v>515</v>
          </cell>
        </row>
        <row r="519">
          <cell r="K519" t="str">
            <v>BM4</v>
          </cell>
          <cell r="L519" t="str">
            <v>BL</v>
          </cell>
          <cell r="M519">
            <v>516</v>
          </cell>
        </row>
        <row r="520">
          <cell r="K520" t="str">
            <v>BM5</v>
          </cell>
          <cell r="L520" t="str">
            <v>BL</v>
          </cell>
          <cell r="M520">
            <v>517</v>
          </cell>
        </row>
        <row r="521">
          <cell r="K521" t="str">
            <v>BM6</v>
          </cell>
          <cell r="L521" t="str">
            <v>BL</v>
          </cell>
          <cell r="M521">
            <v>518</v>
          </cell>
        </row>
        <row r="522">
          <cell r="K522" t="str">
            <v>BM7</v>
          </cell>
          <cell r="L522" t="str">
            <v>BL</v>
          </cell>
          <cell r="M522">
            <v>519</v>
          </cell>
        </row>
        <row r="523">
          <cell r="K523" t="str">
            <v>BM</v>
          </cell>
          <cell r="L523" t="str">
            <v>BM</v>
          </cell>
          <cell r="M523">
            <v>520</v>
          </cell>
        </row>
        <row r="524">
          <cell r="K524" t="str">
            <v>BN1</v>
          </cell>
          <cell r="L524" t="str">
            <v>BM</v>
          </cell>
          <cell r="M524">
            <v>521</v>
          </cell>
        </row>
        <row r="525">
          <cell r="K525" t="str">
            <v>BN2</v>
          </cell>
          <cell r="L525" t="str">
            <v>BM</v>
          </cell>
          <cell r="M525">
            <v>522</v>
          </cell>
        </row>
        <row r="526">
          <cell r="K526" t="str">
            <v>BN3</v>
          </cell>
          <cell r="L526" t="str">
            <v>BM</v>
          </cell>
          <cell r="M526">
            <v>523</v>
          </cell>
        </row>
        <row r="527">
          <cell r="K527" t="str">
            <v>BN4</v>
          </cell>
          <cell r="L527" t="str">
            <v>BM</v>
          </cell>
          <cell r="M527">
            <v>524</v>
          </cell>
        </row>
        <row r="528">
          <cell r="K528" t="str">
            <v>BN5</v>
          </cell>
          <cell r="L528" t="str">
            <v>BM</v>
          </cell>
          <cell r="M528">
            <v>525</v>
          </cell>
        </row>
        <row r="529">
          <cell r="K529" t="str">
            <v>BN6</v>
          </cell>
          <cell r="L529" t="str">
            <v>BM</v>
          </cell>
          <cell r="M529">
            <v>526</v>
          </cell>
        </row>
        <row r="530">
          <cell r="K530" t="str">
            <v>BN7</v>
          </cell>
          <cell r="L530" t="str">
            <v>BM</v>
          </cell>
          <cell r="M530">
            <v>527</v>
          </cell>
        </row>
        <row r="531">
          <cell r="K531" t="str">
            <v>BN</v>
          </cell>
          <cell r="L531" t="str">
            <v>BN</v>
          </cell>
          <cell r="M531">
            <v>528</v>
          </cell>
        </row>
        <row r="532">
          <cell r="K532" t="str">
            <v>BO1</v>
          </cell>
          <cell r="L532" t="str">
            <v>BN</v>
          </cell>
          <cell r="M532">
            <v>529</v>
          </cell>
        </row>
        <row r="533">
          <cell r="K533" t="str">
            <v>BO2</v>
          </cell>
          <cell r="L533" t="str">
            <v>BN</v>
          </cell>
          <cell r="M533">
            <v>530</v>
          </cell>
        </row>
        <row r="534">
          <cell r="K534" t="str">
            <v>BO3</v>
          </cell>
          <cell r="L534" t="str">
            <v>BN</v>
          </cell>
          <cell r="M534">
            <v>531</v>
          </cell>
        </row>
        <row r="535">
          <cell r="K535" t="str">
            <v>BO4</v>
          </cell>
          <cell r="L535" t="str">
            <v>BN</v>
          </cell>
          <cell r="M535">
            <v>532</v>
          </cell>
        </row>
        <row r="536">
          <cell r="K536" t="str">
            <v>BO5</v>
          </cell>
          <cell r="L536" t="str">
            <v>BN</v>
          </cell>
          <cell r="M536">
            <v>533</v>
          </cell>
        </row>
        <row r="537">
          <cell r="K537" t="str">
            <v>BO6</v>
          </cell>
          <cell r="L537" t="str">
            <v>BN</v>
          </cell>
          <cell r="M537">
            <v>534</v>
          </cell>
        </row>
        <row r="538">
          <cell r="K538" t="str">
            <v>BO7</v>
          </cell>
          <cell r="L538" t="str">
            <v>BN</v>
          </cell>
          <cell r="M538">
            <v>535</v>
          </cell>
        </row>
        <row r="539">
          <cell r="K539" t="str">
            <v>BO</v>
          </cell>
          <cell r="L539" t="str">
            <v>BO</v>
          </cell>
          <cell r="M539">
            <v>536</v>
          </cell>
        </row>
        <row r="540">
          <cell r="K540" t="str">
            <v>BP1</v>
          </cell>
          <cell r="L540" t="str">
            <v>BO</v>
          </cell>
          <cell r="M540">
            <v>537</v>
          </cell>
        </row>
        <row r="541">
          <cell r="K541" t="str">
            <v>BP2</v>
          </cell>
          <cell r="L541" t="str">
            <v>BO</v>
          </cell>
          <cell r="M541">
            <v>538</v>
          </cell>
        </row>
        <row r="542">
          <cell r="K542" t="str">
            <v>BP3</v>
          </cell>
          <cell r="L542" t="str">
            <v>BO</v>
          </cell>
          <cell r="M542">
            <v>539</v>
          </cell>
        </row>
        <row r="543">
          <cell r="K543" t="str">
            <v>BP4</v>
          </cell>
          <cell r="L543" t="str">
            <v>BO</v>
          </cell>
          <cell r="M543">
            <v>540</v>
          </cell>
        </row>
        <row r="544">
          <cell r="K544" t="str">
            <v>BP5</v>
          </cell>
          <cell r="L544" t="str">
            <v>BO</v>
          </cell>
          <cell r="M544">
            <v>541</v>
          </cell>
        </row>
        <row r="545">
          <cell r="K545" t="str">
            <v>BP6</v>
          </cell>
          <cell r="L545" t="str">
            <v>BO</v>
          </cell>
          <cell r="M545">
            <v>542</v>
          </cell>
        </row>
        <row r="546">
          <cell r="K546" t="str">
            <v>BP7</v>
          </cell>
          <cell r="L546" t="str">
            <v>BO</v>
          </cell>
          <cell r="M546">
            <v>543</v>
          </cell>
        </row>
        <row r="547">
          <cell r="K547" t="str">
            <v>BP</v>
          </cell>
          <cell r="L547" t="str">
            <v>BP</v>
          </cell>
          <cell r="M547">
            <v>544</v>
          </cell>
        </row>
        <row r="548">
          <cell r="K548" t="str">
            <v>BQ1</v>
          </cell>
          <cell r="L548" t="str">
            <v>BP</v>
          </cell>
          <cell r="M548">
            <v>545</v>
          </cell>
        </row>
        <row r="549">
          <cell r="K549" t="str">
            <v>BQ2</v>
          </cell>
          <cell r="L549" t="str">
            <v>BP</v>
          </cell>
          <cell r="M549">
            <v>546</v>
          </cell>
        </row>
        <row r="550">
          <cell r="K550" t="str">
            <v>BQ3</v>
          </cell>
          <cell r="L550" t="str">
            <v>BP</v>
          </cell>
          <cell r="M550">
            <v>547</v>
          </cell>
        </row>
        <row r="551">
          <cell r="K551" t="str">
            <v>BQ4</v>
          </cell>
          <cell r="L551" t="str">
            <v>BP</v>
          </cell>
          <cell r="M551">
            <v>548</v>
          </cell>
        </row>
        <row r="552">
          <cell r="K552" t="str">
            <v>BQ5</v>
          </cell>
          <cell r="L552" t="str">
            <v>BP</v>
          </cell>
          <cell r="M552">
            <v>549</v>
          </cell>
        </row>
        <row r="553">
          <cell r="K553" t="str">
            <v>BQ6</v>
          </cell>
          <cell r="L553" t="str">
            <v>BP</v>
          </cell>
          <cell r="M553">
            <v>550</v>
          </cell>
        </row>
        <row r="554">
          <cell r="K554" t="str">
            <v>BQ7</v>
          </cell>
          <cell r="L554" t="str">
            <v>BP</v>
          </cell>
          <cell r="M554">
            <v>551</v>
          </cell>
        </row>
        <row r="555">
          <cell r="K555" t="str">
            <v>BQ</v>
          </cell>
          <cell r="L555" t="str">
            <v>BQ</v>
          </cell>
          <cell r="M555">
            <v>552</v>
          </cell>
        </row>
        <row r="556">
          <cell r="K556" t="str">
            <v>BR1</v>
          </cell>
          <cell r="L556" t="str">
            <v>BQ</v>
          </cell>
          <cell r="M556">
            <v>553</v>
          </cell>
        </row>
        <row r="557">
          <cell r="K557" t="str">
            <v>BR2</v>
          </cell>
          <cell r="L557" t="str">
            <v>BQ</v>
          </cell>
          <cell r="M557">
            <v>554</v>
          </cell>
        </row>
        <row r="558">
          <cell r="K558" t="str">
            <v>BR3</v>
          </cell>
          <cell r="L558" t="str">
            <v>BQ</v>
          </cell>
          <cell r="M558">
            <v>555</v>
          </cell>
        </row>
        <row r="559">
          <cell r="K559" t="str">
            <v>BR4</v>
          </cell>
          <cell r="L559" t="str">
            <v>BQ</v>
          </cell>
          <cell r="M559">
            <v>556</v>
          </cell>
        </row>
        <row r="560">
          <cell r="K560" t="str">
            <v>BR5</v>
          </cell>
          <cell r="L560" t="str">
            <v>BQ</v>
          </cell>
          <cell r="M560">
            <v>557</v>
          </cell>
        </row>
        <row r="561">
          <cell r="K561" t="str">
            <v>BR6</v>
          </cell>
          <cell r="L561" t="str">
            <v>BQ</v>
          </cell>
          <cell r="M561">
            <v>558</v>
          </cell>
        </row>
        <row r="562">
          <cell r="K562" t="str">
            <v>BR7</v>
          </cell>
          <cell r="L562" t="str">
            <v>BQ</v>
          </cell>
          <cell r="M562">
            <v>559</v>
          </cell>
        </row>
        <row r="563">
          <cell r="K563" t="str">
            <v>BR</v>
          </cell>
          <cell r="L563" t="str">
            <v>BR</v>
          </cell>
          <cell r="M563">
            <v>560</v>
          </cell>
        </row>
        <row r="564">
          <cell r="K564" t="str">
            <v>BS1</v>
          </cell>
          <cell r="L564" t="str">
            <v>BR</v>
          </cell>
          <cell r="M564">
            <v>561</v>
          </cell>
        </row>
        <row r="565">
          <cell r="K565" t="str">
            <v>BS2</v>
          </cell>
          <cell r="L565" t="str">
            <v>BR</v>
          </cell>
          <cell r="M565">
            <v>562</v>
          </cell>
        </row>
        <row r="566">
          <cell r="K566" t="str">
            <v>BS3</v>
          </cell>
          <cell r="L566" t="str">
            <v>BR</v>
          </cell>
          <cell r="M566">
            <v>563</v>
          </cell>
        </row>
        <row r="567">
          <cell r="K567" t="str">
            <v>BS4</v>
          </cell>
          <cell r="L567" t="str">
            <v>BR</v>
          </cell>
          <cell r="M567">
            <v>564</v>
          </cell>
        </row>
        <row r="568">
          <cell r="K568" t="str">
            <v>BS5</v>
          </cell>
          <cell r="L568" t="str">
            <v>BR</v>
          </cell>
          <cell r="M568">
            <v>565</v>
          </cell>
        </row>
        <row r="569">
          <cell r="K569" t="str">
            <v>BS6</v>
          </cell>
          <cell r="L569" t="str">
            <v>BR</v>
          </cell>
          <cell r="M569">
            <v>566</v>
          </cell>
        </row>
        <row r="570">
          <cell r="K570" t="str">
            <v>BS7</v>
          </cell>
          <cell r="L570" t="str">
            <v>BR</v>
          </cell>
          <cell r="M570">
            <v>567</v>
          </cell>
        </row>
        <row r="571">
          <cell r="K571" t="str">
            <v>BS</v>
          </cell>
          <cell r="L571" t="str">
            <v>BS</v>
          </cell>
          <cell r="M571">
            <v>568</v>
          </cell>
        </row>
        <row r="572">
          <cell r="K572" t="str">
            <v>BT1</v>
          </cell>
          <cell r="L572" t="str">
            <v>BS</v>
          </cell>
          <cell r="M572">
            <v>569</v>
          </cell>
        </row>
        <row r="573">
          <cell r="K573" t="str">
            <v>BT2</v>
          </cell>
          <cell r="L573" t="str">
            <v>BS</v>
          </cell>
          <cell r="M573">
            <v>570</v>
          </cell>
        </row>
        <row r="574">
          <cell r="K574" t="str">
            <v>BT3</v>
          </cell>
          <cell r="L574" t="str">
            <v>BS</v>
          </cell>
          <cell r="M574">
            <v>571</v>
          </cell>
        </row>
        <row r="575">
          <cell r="K575" t="str">
            <v>BT4</v>
          </cell>
          <cell r="L575" t="str">
            <v>BS</v>
          </cell>
          <cell r="M575">
            <v>572</v>
          </cell>
        </row>
        <row r="576">
          <cell r="K576" t="str">
            <v>BT5</v>
          </cell>
          <cell r="L576" t="str">
            <v>BS</v>
          </cell>
          <cell r="M576">
            <v>573</v>
          </cell>
        </row>
        <row r="577">
          <cell r="K577" t="str">
            <v>BT6</v>
          </cell>
          <cell r="L577" t="str">
            <v>BS</v>
          </cell>
          <cell r="M577">
            <v>574</v>
          </cell>
        </row>
        <row r="578">
          <cell r="K578" t="str">
            <v>BT7</v>
          </cell>
          <cell r="L578" t="str">
            <v>BS</v>
          </cell>
          <cell r="M578">
            <v>575</v>
          </cell>
        </row>
        <row r="579">
          <cell r="K579" t="str">
            <v>BT</v>
          </cell>
          <cell r="L579" t="str">
            <v>BT</v>
          </cell>
          <cell r="M579">
            <v>576</v>
          </cell>
        </row>
        <row r="580">
          <cell r="K580" t="str">
            <v>BU1</v>
          </cell>
          <cell r="L580" t="str">
            <v>BT</v>
          </cell>
          <cell r="M580">
            <v>577</v>
          </cell>
        </row>
        <row r="581">
          <cell r="K581" t="str">
            <v>BU2</v>
          </cell>
          <cell r="L581" t="str">
            <v>BT</v>
          </cell>
          <cell r="M581">
            <v>578</v>
          </cell>
        </row>
        <row r="582">
          <cell r="K582" t="str">
            <v>BU3</v>
          </cell>
          <cell r="L582" t="str">
            <v>BT</v>
          </cell>
          <cell r="M582">
            <v>579</v>
          </cell>
        </row>
        <row r="583">
          <cell r="K583" t="str">
            <v>BU4</v>
          </cell>
          <cell r="L583" t="str">
            <v>BT</v>
          </cell>
          <cell r="M583">
            <v>580</v>
          </cell>
        </row>
        <row r="584">
          <cell r="K584" t="str">
            <v>BU5</v>
          </cell>
          <cell r="L584" t="str">
            <v>BT</v>
          </cell>
          <cell r="M584">
            <v>581</v>
          </cell>
        </row>
        <row r="585">
          <cell r="K585" t="str">
            <v>BU6</v>
          </cell>
          <cell r="L585" t="str">
            <v>BT</v>
          </cell>
          <cell r="M585">
            <v>582</v>
          </cell>
        </row>
        <row r="586">
          <cell r="K586" t="str">
            <v>BU7</v>
          </cell>
          <cell r="L586" t="str">
            <v>BT</v>
          </cell>
          <cell r="M586">
            <v>583</v>
          </cell>
        </row>
        <row r="587">
          <cell r="K587" t="str">
            <v>BU</v>
          </cell>
          <cell r="L587" t="str">
            <v>BU</v>
          </cell>
          <cell r="M587">
            <v>584</v>
          </cell>
        </row>
        <row r="588">
          <cell r="K588" t="str">
            <v>BV1</v>
          </cell>
          <cell r="L588" t="str">
            <v>BU</v>
          </cell>
          <cell r="M588">
            <v>585</v>
          </cell>
        </row>
        <row r="589">
          <cell r="K589" t="str">
            <v>BV2</v>
          </cell>
          <cell r="L589" t="str">
            <v>BU</v>
          </cell>
          <cell r="M589">
            <v>586</v>
          </cell>
        </row>
        <row r="590">
          <cell r="K590" t="str">
            <v>BV3</v>
          </cell>
          <cell r="L590" t="str">
            <v>BU</v>
          </cell>
          <cell r="M590">
            <v>587</v>
          </cell>
        </row>
        <row r="591">
          <cell r="K591" t="str">
            <v>BV4</v>
          </cell>
          <cell r="L591" t="str">
            <v>BU</v>
          </cell>
          <cell r="M591">
            <v>588</v>
          </cell>
        </row>
        <row r="592">
          <cell r="K592" t="str">
            <v>BV5</v>
          </cell>
          <cell r="L592" t="str">
            <v>BU</v>
          </cell>
          <cell r="M592">
            <v>589</v>
          </cell>
        </row>
        <row r="593">
          <cell r="K593" t="str">
            <v>BV6</v>
          </cell>
          <cell r="L593" t="str">
            <v>BU</v>
          </cell>
          <cell r="M593">
            <v>590</v>
          </cell>
        </row>
        <row r="594">
          <cell r="K594" t="str">
            <v>BV7</v>
          </cell>
          <cell r="L594" t="str">
            <v>BU</v>
          </cell>
          <cell r="M594">
            <v>591</v>
          </cell>
        </row>
        <row r="595">
          <cell r="K595" t="str">
            <v>BV</v>
          </cell>
          <cell r="L595" t="str">
            <v>BV</v>
          </cell>
          <cell r="M595">
            <v>592</v>
          </cell>
        </row>
        <row r="596">
          <cell r="K596" t="str">
            <v>BW1</v>
          </cell>
          <cell r="L596" t="str">
            <v>BV</v>
          </cell>
          <cell r="M596">
            <v>593</v>
          </cell>
        </row>
        <row r="597">
          <cell r="K597" t="str">
            <v>BW2</v>
          </cell>
          <cell r="L597" t="str">
            <v>BV</v>
          </cell>
          <cell r="M597">
            <v>594</v>
          </cell>
        </row>
        <row r="598">
          <cell r="K598" t="str">
            <v>BW3</v>
          </cell>
          <cell r="L598" t="str">
            <v>BV</v>
          </cell>
          <cell r="M598">
            <v>595</v>
          </cell>
        </row>
        <row r="599">
          <cell r="K599" t="str">
            <v>BW4</v>
          </cell>
          <cell r="L599" t="str">
            <v>BV</v>
          </cell>
          <cell r="M599">
            <v>596</v>
          </cell>
        </row>
        <row r="600">
          <cell r="K600" t="str">
            <v>BW5</v>
          </cell>
          <cell r="L600" t="str">
            <v>BV</v>
          </cell>
          <cell r="M600">
            <v>597</v>
          </cell>
        </row>
        <row r="601">
          <cell r="K601" t="str">
            <v>BW6</v>
          </cell>
          <cell r="L601" t="str">
            <v>BV</v>
          </cell>
          <cell r="M601">
            <v>598</v>
          </cell>
        </row>
        <row r="602">
          <cell r="K602" t="str">
            <v>BW7</v>
          </cell>
          <cell r="L602" t="str">
            <v>BV</v>
          </cell>
          <cell r="M602">
            <v>599</v>
          </cell>
        </row>
        <row r="603">
          <cell r="K603" t="str">
            <v>BW</v>
          </cell>
          <cell r="L603" t="str">
            <v>BW</v>
          </cell>
          <cell r="M603">
            <v>600</v>
          </cell>
        </row>
        <row r="604">
          <cell r="K604" t="str">
            <v>BX1</v>
          </cell>
          <cell r="L604" t="str">
            <v>BW</v>
          </cell>
          <cell r="M604">
            <v>601</v>
          </cell>
        </row>
        <row r="605">
          <cell r="K605" t="str">
            <v>BX2</v>
          </cell>
          <cell r="L605" t="str">
            <v>BW</v>
          </cell>
          <cell r="M605">
            <v>602</v>
          </cell>
        </row>
        <row r="606">
          <cell r="K606" t="str">
            <v>BX3</v>
          </cell>
          <cell r="L606" t="str">
            <v>BW</v>
          </cell>
          <cell r="M606">
            <v>603</v>
          </cell>
        </row>
        <row r="607">
          <cell r="K607" t="str">
            <v>BX4</v>
          </cell>
          <cell r="L607" t="str">
            <v>BW</v>
          </cell>
          <cell r="M607">
            <v>604</v>
          </cell>
        </row>
        <row r="608">
          <cell r="K608" t="str">
            <v>BX5</v>
          </cell>
          <cell r="L608" t="str">
            <v>BW</v>
          </cell>
          <cell r="M608">
            <v>605</v>
          </cell>
        </row>
        <row r="609">
          <cell r="K609" t="str">
            <v>BX6</v>
          </cell>
          <cell r="L609" t="str">
            <v>BW</v>
          </cell>
          <cell r="M609">
            <v>606</v>
          </cell>
        </row>
        <row r="610">
          <cell r="K610" t="str">
            <v>BX7</v>
          </cell>
          <cell r="L610" t="str">
            <v>BW</v>
          </cell>
          <cell r="M610">
            <v>607</v>
          </cell>
        </row>
        <row r="611">
          <cell r="K611" t="str">
            <v>BX</v>
          </cell>
          <cell r="L611" t="str">
            <v>BX</v>
          </cell>
          <cell r="M611">
            <v>608</v>
          </cell>
        </row>
        <row r="612">
          <cell r="K612" t="str">
            <v>BY1</v>
          </cell>
          <cell r="L612" t="str">
            <v>BX</v>
          </cell>
          <cell r="M612">
            <v>609</v>
          </cell>
        </row>
        <row r="613">
          <cell r="K613" t="str">
            <v>BY2</v>
          </cell>
          <cell r="L613" t="str">
            <v>BX</v>
          </cell>
          <cell r="M613">
            <v>610</v>
          </cell>
        </row>
        <row r="614">
          <cell r="K614" t="str">
            <v>BY3</v>
          </cell>
          <cell r="L614" t="str">
            <v>BX</v>
          </cell>
          <cell r="M614">
            <v>611</v>
          </cell>
        </row>
        <row r="615">
          <cell r="K615" t="str">
            <v>BY4</v>
          </cell>
          <cell r="L615" t="str">
            <v>BX</v>
          </cell>
          <cell r="M615">
            <v>612</v>
          </cell>
        </row>
        <row r="616">
          <cell r="K616" t="str">
            <v>BY5</v>
          </cell>
          <cell r="L616" t="str">
            <v>BX</v>
          </cell>
          <cell r="M616">
            <v>613</v>
          </cell>
        </row>
        <row r="617">
          <cell r="K617" t="str">
            <v>BY6</v>
          </cell>
          <cell r="L617" t="str">
            <v>BX</v>
          </cell>
          <cell r="M617">
            <v>614</v>
          </cell>
        </row>
        <row r="618">
          <cell r="K618" t="str">
            <v>BY7</v>
          </cell>
          <cell r="L618" t="str">
            <v>BX</v>
          </cell>
          <cell r="M618">
            <v>615</v>
          </cell>
        </row>
        <row r="619">
          <cell r="K619" t="str">
            <v>BY</v>
          </cell>
          <cell r="L619" t="str">
            <v>BY</v>
          </cell>
          <cell r="M619">
            <v>616</v>
          </cell>
        </row>
        <row r="620">
          <cell r="K620" t="str">
            <v>BZ1</v>
          </cell>
          <cell r="L620" t="str">
            <v>BY</v>
          </cell>
          <cell r="M620">
            <v>617</v>
          </cell>
        </row>
        <row r="621">
          <cell r="K621" t="str">
            <v>BZ2</v>
          </cell>
          <cell r="L621" t="str">
            <v>BY</v>
          </cell>
          <cell r="M621">
            <v>618</v>
          </cell>
        </row>
        <row r="622">
          <cell r="K622" t="str">
            <v>BZ3</v>
          </cell>
          <cell r="L622" t="str">
            <v>BY</v>
          </cell>
          <cell r="M622">
            <v>619</v>
          </cell>
        </row>
        <row r="623">
          <cell r="K623" t="str">
            <v>BZ4</v>
          </cell>
          <cell r="L623" t="str">
            <v>BY</v>
          </cell>
          <cell r="M623">
            <v>620</v>
          </cell>
        </row>
        <row r="624">
          <cell r="K624" t="str">
            <v>BZ5</v>
          </cell>
          <cell r="L624" t="str">
            <v>BY</v>
          </cell>
          <cell r="M624">
            <v>621</v>
          </cell>
        </row>
        <row r="625">
          <cell r="K625" t="str">
            <v>BZ6</v>
          </cell>
          <cell r="L625" t="str">
            <v>BY</v>
          </cell>
          <cell r="M625">
            <v>622</v>
          </cell>
        </row>
        <row r="626">
          <cell r="K626" t="str">
            <v>BZ7</v>
          </cell>
          <cell r="L626" t="str">
            <v>BY</v>
          </cell>
          <cell r="M626">
            <v>623</v>
          </cell>
        </row>
        <row r="627">
          <cell r="K627" t="str">
            <v>BZ</v>
          </cell>
          <cell r="L627" t="str">
            <v>BZ</v>
          </cell>
          <cell r="M627">
            <v>624</v>
          </cell>
        </row>
        <row r="628">
          <cell r="K628" t="str">
            <v>CA1</v>
          </cell>
          <cell r="L628" t="str">
            <v>BZ</v>
          </cell>
          <cell r="M628">
            <v>625</v>
          </cell>
        </row>
        <row r="629">
          <cell r="K629" t="str">
            <v>CA2</v>
          </cell>
          <cell r="L629" t="str">
            <v>BZ</v>
          </cell>
          <cell r="M629">
            <v>626</v>
          </cell>
        </row>
        <row r="630">
          <cell r="K630" t="str">
            <v>CA3</v>
          </cell>
          <cell r="L630" t="str">
            <v>BZ</v>
          </cell>
          <cell r="M630">
            <v>627</v>
          </cell>
        </row>
        <row r="631">
          <cell r="K631" t="str">
            <v>CA4</v>
          </cell>
          <cell r="L631" t="str">
            <v>BZ</v>
          </cell>
          <cell r="M631">
            <v>628</v>
          </cell>
        </row>
        <row r="632">
          <cell r="K632" t="str">
            <v>CA5</v>
          </cell>
          <cell r="L632" t="str">
            <v>BZ</v>
          </cell>
          <cell r="M632">
            <v>629</v>
          </cell>
        </row>
        <row r="633">
          <cell r="K633" t="str">
            <v>CA6</v>
          </cell>
          <cell r="L633" t="str">
            <v>BZ</v>
          </cell>
          <cell r="M633">
            <v>630</v>
          </cell>
        </row>
        <row r="634">
          <cell r="K634" t="str">
            <v>CA7</v>
          </cell>
          <cell r="L634" t="str">
            <v>BZ</v>
          </cell>
          <cell r="M634">
            <v>631</v>
          </cell>
        </row>
      </sheetData>
      <sheetData sheetId="9" refreshError="1"/>
      <sheetData sheetId="10" refreshError="1"/>
      <sheetData sheetId="11" refreshError="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EntityDefinition"/>
      <sheetName val="Validation Lists"/>
      <sheetName val="Mass Update Planning"/>
      <sheetName val="Macros"/>
      <sheetName val="resetsheet"/>
      <sheetName val="ETM Mass Upload Template Airlin"/>
    </sheetNames>
    <sheetDataSet>
      <sheetData sheetId="0"/>
      <sheetData sheetId="1">
        <row r="4">
          <cell r="B4" t="str">
            <v>N/A</v>
          </cell>
        </row>
      </sheetData>
      <sheetData sheetId="2"/>
      <sheetData sheetId="3"/>
      <sheetData sheetId="4"/>
      <sheetData sheetId="5" refreshError="1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  <sheetName val="cboData"/>
      <sheetName val="samradDatePicker"/>
    </sheetNames>
    <definedNames>
      <definedName name="DisplayCalendar"/>
    </definedNames>
    <sheetDataSet>
      <sheetData sheetId="0"/>
      <sheetData sheetId="1"/>
      <sheetData sheetId="2" refreshError="1"/>
    </sheetDataSet>
  </externalBook>
</externalLink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ajacob" refreshedDate="41620.473929745371" createdVersion="3" refreshedVersion="3" minRefreshableVersion="3" recordCount="74">
  <cacheSource type="worksheet">
    <worksheetSource name="Table3D"/>
  </cacheSource>
  <cacheFields count="3">
    <cacheField name="QTY REQD" numFmtId="0">
      <sharedItems containsSemiMixedTypes="0" containsString="0" containsNumber="1" containsInteger="1" minValue="1" maxValue="1"/>
    </cacheField>
    <cacheField name="PART OR IDENTIFYING NO." numFmtId="0">
      <sharedItems containsDate="1" containsMixedTypes="1" minDate="2600-01-31T00:00:00" maxDate="1900-01-02T08:11:05" count="33">
        <s v="B4718GAED-101-RFD"/>
        <s v="B6114GAED-501"/>
        <s v="B471229-501"/>
        <s v="B611085-93"/>
        <s v="B611085-25"/>
        <s v="B611085-3"/>
        <s v="B611095-3"/>
        <s v="2LA 455 740-62"/>
        <s v="2LA 455 740-56"/>
        <s v="8ES 455 618-00"/>
        <s v="2LA 455 615-00"/>
        <s v="B611085-5"/>
        <s v="ACCENT LIGHT"/>
        <s v="2LA 455 555-10"/>
        <s v="ELECTRICAL OUTLET (REF)"/>
        <s v="RU4T"/>
        <d v="2600-01-31T00:00:00"/>
        <s v="GROUP.1_B4718GAED-101"/>
        <s v="AD32BS"/>
        <s v="NAS514P1032-16P"/>
        <s v="NAS603-11P"/>
        <s v="NAS1149F0332P"/>
        <s v="B472289-527"/>
        <s v="B4726GAED-501"/>
        <s v="PFG500104-401"/>
        <s v="B471172-503"/>
        <s v="B471010-509-RFD4"/>
        <s v="B482476-1"/>
        <s v="B611086-1"/>
        <s v="B471026-501"/>
        <s v="B471356-CFG4"/>
        <s v="B4736GAED-501"/>
        <n v="38197195"/>
      </sharedItems>
    </cacheField>
    <cacheField name="NOMENCLATURE OR DESCRIPTION" numFmtId="0">
      <sharedItems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74">
  <r>
    <n v="1"/>
    <x v="0"/>
    <s v="B4718GAED-101"/>
  </r>
  <r>
    <n v="1"/>
    <x v="1"/>
    <s v="B4718GAED-101"/>
  </r>
  <r>
    <n v="1"/>
    <x v="2"/>
    <s v="B6114GAED-501"/>
  </r>
  <r>
    <n v="1"/>
    <x v="3"/>
    <s v="B6114GAED-501"/>
  </r>
  <r>
    <n v="1"/>
    <x v="4"/>
    <s v="B6114GAED-501"/>
  </r>
  <r>
    <n v="1"/>
    <x v="5"/>
    <s v="B6114GAED-501"/>
  </r>
  <r>
    <n v="1"/>
    <x v="6"/>
    <s v="B6114GAED-501"/>
  </r>
  <r>
    <n v="1"/>
    <x v="7"/>
    <s v="B6114GAED-501"/>
  </r>
  <r>
    <n v="1"/>
    <x v="8"/>
    <s v="B6114GAED-501"/>
  </r>
  <r>
    <n v="1"/>
    <x v="9"/>
    <s v="B6114GAED-501"/>
  </r>
  <r>
    <n v="1"/>
    <x v="10"/>
    <s v="B6114GAED-501"/>
  </r>
  <r>
    <n v="1"/>
    <x v="11"/>
    <s v="B6114GAED-501"/>
  </r>
  <r>
    <n v="1"/>
    <x v="12"/>
    <s v="B6114GAED-501"/>
  </r>
  <r>
    <n v="1"/>
    <x v="13"/>
    <s v="ACCENT LIGHT"/>
  </r>
  <r>
    <n v="1"/>
    <x v="13"/>
    <s v="ACCENT LIGHT"/>
  </r>
  <r>
    <n v="1"/>
    <x v="13"/>
    <s v="ACCENT LIGHT"/>
  </r>
  <r>
    <n v="1"/>
    <x v="13"/>
    <s v="ACCENT LIGHT"/>
  </r>
  <r>
    <n v="1"/>
    <x v="13"/>
    <s v="ACCENT LIGHT"/>
  </r>
  <r>
    <n v="1"/>
    <x v="13"/>
    <s v="ACCENT LIGHT"/>
  </r>
  <r>
    <n v="1"/>
    <x v="13"/>
    <s v="ACCENT LIGHT"/>
  </r>
  <r>
    <n v="1"/>
    <x v="13"/>
    <s v="ACCENT LIGHT"/>
  </r>
  <r>
    <n v="1"/>
    <x v="13"/>
    <s v="ACCENT LIGHT"/>
  </r>
  <r>
    <n v="1"/>
    <x v="13"/>
    <s v="ACCENT LIGHT"/>
  </r>
  <r>
    <n v="1"/>
    <x v="13"/>
    <s v="ACCENT LIGHT"/>
  </r>
  <r>
    <n v="1"/>
    <x v="13"/>
    <s v="ACCENT LIGHT"/>
  </r>
  <r>
    <n v="1"/>
    <x v="13"/>
    <s v="ACCENT LIGHT"/>
  </r>
  <r>
    <n v="1"/>
    <x v="13"/>
    <s v="ACCENT LIGHT"/>
  </r>
  <r>
    <n v="1"/>
    <x v="13"/>
    <s v="ACCENT LIGHT"/>
  </r>
  <r>
    <n v="1"/>
    <x v="13"/>
    <s v="ACCENT LIGHT"/>
  </r>
  <r>
    <n v="1"/>
    <x v="13"/>
    <s v="ACCENT LIGHT"/>
  </r>
  <r>
    <n v="1"/>
    <x v="13"/>
    <s v="ACCENT LIGHT"/>
  </r>
  <r>
    <n v="1"/>
    <x v="13"/>
    <s v="ACCENT LIGHT"/>
  </r>
  <r>
    <n v="1"/>
    <x v="13"/>
    <s v="ACCENT LIGHT"/>
  </r>
  <r>
    <n v="1"/>
    <x v="13"/>
    <s v="ACCENT LIGHT"/>
  </r>
  <r>
    <n v="1"/>
    <x v="13"/>
    <s v="ACCENT LIGHT"/>
  </r>
  <r>
    <n v="1"/>
    <x v="13"/>
    <s v="ACCENT LIGHT"/>
  </r>
  <r>
    <n v="1"/>
    <x v="13"/>
    <s v="ACCENT LIGHT"/>
  </r>
  <r>
    <n v="1"/>
    <x v="13"/>
    <s v="ACCENT LIGHT"/>
  </r>
  <r>
    <n v="1"/>
    <x v="13"/>
    <s v="ACCENT LIGHT"/>
  </r>
  <r>
    <n v="1"/>
    <x v="14"/>
    <s v="B6114GAED-501"/>
  </r>
  <r>
    <n v="1"/>
    <x v="15"/>
    <s v="ELECTRICAL OUTLET (REF)"/>
  </r>
  <r>
    <n v="1"/>
    <x v="15"/>
    <s v="ELECTRICAL OUTLET (REF)"/>
  </r>
  <r>
    <n v="1"/>
    <x v="16"/>
    <s v="B6114GAED-501"/>
  </r>
  <r>
    <n v="1"/>
    <x v="17"/>
    <s v="B4718GAED-101"/>
  </r>
  <r>
    <n v="1"/>
    <x v="18"/>
    <s v="GROUP.1_B4718GAED-101"/>
  </r>
  <r>
    <n v="1"/>
    <x v="18"/>
    <s v="GROUP.1_B4718GAED-101"/>
  </r>
  <r>
    <n v="1"/>
    <x v="18"/>
    <s v="GROUP.1_B4718GAED-101"/>
  </r>
  <r>
    <n v="1"/>
    <x v="18"/>
    <s v="GROUP.1_B4718GAED-101"/>
  </r>
  <r>
    <n v="1"/>
    <x v="19"/>
    <s v="GROUP.1_B4718GAED-101"/>
  </r>
  <r>
    <n v="1"/>
    <x v="19"/>
    <s v="GROUP.1_B4718GAED-101"/>
  </r>
  <r>
    <n v="1"/>
    <x v="19"/>
    <s v="GROUP.1_B4718GAED-101"/>
  </r>
  <r>
    <n v="1"/>
    <x v="19"/>
    <s v="GROUP.1_B4718GAED-101"/>
  </r>
  <r>
    <n v="1"/>
    <x v="19"/>
    <s v="GROUP.1_B4718GAED-101"/>
  </r>
  <r>
    <n v="1"/>
    <x v="19"/>
    <s v="GROUP.1_B4718GAED-101"/>
  </r>
  <r>
    <n v="1"/>
    <x v="20"/>
    <s v="B4718GAED-101"/>
  </r>
  <r>
    <n v="1"/>
    <x v="21"/>
    <s v="B4718GAED-101"/>
  </r>
  <r>
    <n v="1"/>
    <x v="21"/>
    <s v="B4718GAED-101"/>
  </r>
  <r>
    <n v="1"/>
    <x v="20"/>
    <s v="B4718GAED-101"/>
  </r>
  <r>
    <n v="1"/>
    <x v="21"/>
    <s v="B4718GAED-101"/>
  </r>
  <r>
    <n v="1"/>
    <x v="20"/>
    <s v="B4718GAED-101"/>
  </r>
  <r>
    <n v="1"/>
    <x v="20"/>
    <s v="B4718GAED-101"/>
  </r>
  <r>
    <n v="1"/>
    <x v="21"/>
    <s v="B4718GAED-101"/>
  </r>
  <r>
    <n v="1"/>
    <x v="22"/>
    <s v="B4718GAED-101"/>
  </r>
  <r>
    <n v="1"/>
    <x v="23"/>
    <s v="B4718GAED-101"/>
  </r>
  <r>
    <n v="1"/>
    <x v="24"/>
    <s v="B4718GAED-101"/>
  </r>
  <r>
    <n v="1"/>
    <x v="25"/>
    <s v="B4718GAED-101"/>
  </r>
  <r>
    <n v="1"/>
    <x v="26"/>
    <s v="B4718GAED-101"/>
  </r>
  <r>
    <n v="1"/>
    <x v="27"/>
    <s v="B4718GAED-101"/>
  </r>
  <r>
    <n v="1"/>
    <x v="28"/>
    <s v="B4718GAED-101"/>
  </r>
  <r>
    <n v="1"/>
    <x v="29"/>
    <s v="B4718GAED-101"/>
  </r>
  <r>
    <n v="1"/>
    <x v="30"/>
    <s v="B4718GAED-101"/>
  </r>
  <r>
    <n v="1"/>
    <x v="31"/>
    <s v="B4718GAED-101"/>
  </r>
  <r>
    <n v="1"/>
    <x v="32"/>
    <s v="B4718GAED-101"/>
  </r>
  <r>
    <n v="1"/>
    <x v="32"/>
    <s v="B4718GAED-101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PivotTable1" cacheId="0" applyNumberFormats="0" applyBorderFormats="0" applyFontFormats="0" applyPatternFormats="0" applyAlignmentFormats="0" applyWidthHeightFormats="1" dataCaption="Values" updatedVersion="3" minRefreshableVersion="3" showCalcMbrs="0" useAutoFormatting="1" itemPrintTitles="1" createdVersion="3" indent="0" outline="1" outlineData="1" multipleFieldFilters="0">
  <location ref="A1:B35" firstHeaderRow="1" firstDataRow="1" firstDataCol="1"/>
  <pivotFields count="3">
    <pivotField dataField="1" showAll="0"/>
    <pivotField axis="axisRow" showAll="0">
      <items count="34">
        <item x="32"/>
        <item x="13"/>
        <item x="10"/>
        <item x="8"/>
        <item x="7"/>
        <item x="9"/>
        <item x="12"/>
        <item x="18"/>
        <item x="26"/>
        <item x="29"/>
        <item x="25"/>
        <item x="2"/>
        <item x="30"/>
        <item x="0"/>
        <item x="22"/>
        <item x="23"/>
        <item x="31"/>
        <item x="27"/>
        <item x="4"/>
        <item x="5"/>
        <item x="11"/>
        <item x="3"/>
        <item x="28"/>
        <item x="6"/>
        <item x="1"/>
        <item x="14"/>
        <item x="17"/>
        <item x="21"/>
        <item x="19"/>
        <item x="20"/>
        <item x="24"/>
        <item x="15"/>
        <item x="16"/>
        <item t="default"/>
      </items>
    </pivotField>
    <pivotField showAll="0"/>
  </pivotFields>
  <rowFields count="1">
    <field x="1"/>
  </rowFields>
  <rowItems count="34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 t="grand">
      <x/>
    </i>
  </rowItems>
  <colItems count="1">
    <i/>
  </colItems>
  <dataFields count="1">
    <dataField name="Count of QTY REQD" fld="0" subtotal="count" baseField="0" baseItem="0"/>
  </dataFields>
  <pivotTableStyleInfo name="PivotStyleLight16" showRowHeaders="1" showColHeaders="1" showRowStripes="0" showColStripes="0" showLastColumn="1"/>
</pivotTableDefinition>
</file>

<file path=xl/queryTables/queryTable1.xml><?xml version="1.0" encoding="utf-8"?>
<queryTable xmlns="http://schemas.openxmlformats.org/spreadsheetml/2006/main" name="Query from Excel Files" connectionId="1" autoFormatId="16" applyNumberFormats="0" applyBorderFormats="0" applyFontFormats="0" applyPatternFormats="0" applyAlignmentFormats="0" applyWidthHeightFormats="0">
  <queryTableRefresh nextId="4">
    <queryTableFields count="3">
      <queryTableField id="1" name="DATE: 08-06-2012" tableColumnId="1"/>
      <queryTableField id="2" name="F2" tableColumnId="2"/>
      <queryTableField id="3" name="F3" tableColumnId="3"/>
    </queryTableFields>
  </queryTableRefresh>
</queryTable>
</file>

<file path=xl/queryTables/queryTable2.xml><?xml version="1.0" encoding="utf-8"?>
<queryTable xmlns="http://schemas.openxmlformats.org/spreadsheetml/2006/main" name="ExternalData_1" connectionId="2" autoFormatId="16" applyNumberFormats="0" applyBorderFormats="0" applyFontFormats="0" applyPatternFormats="0" applyAlignmentFormats="0" applyWidthHeightFormats="0">
  <queryTableRefresh nextId="4">
    <queryTableFields count="3">
      <queryTableField id="1" name="F1" tableColumnId="1"/>
      <queryTableField id="2" name="F2" tableColumnId="2"/>
      <queryTableField id="3" name="DATE: 01-11-2013" tableColumnId="3"/>
    </queryTableFields>
  </queryTableRefresh>
</queryTable>
</file>

<file path=xl/tables/_rels/table10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1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table1.xml><?xml version="1.0" encoding="utf-8"?>
<table xmlns="http://schemas.openxmlformats.org/spreadsheetml/2006/main" id="4" name="Table4" displayName="Table4" ref="M1:U150" totalsRowShown="0" headerRowDxfId="56" dataDxfId="55" tableBorderDxfId="54">
  <autoFilter ref="M1:U150"/>
  <tableColumns count="9">
    <tableColumn id="1" name="Level" dataDxfId="53"/>
    <tableColumn id="2" name="Part Number" dataDxfId="52"/>
    <tableColumn id="3" name="Revision" dataDxfId="51"/>
    <tableColumn id="4" name="Description" dataDxfId="50"/>
    <tableColumn id="5" name="Nomenclature" dataDxfId="49"/>
    <tableColumn id="6" name="Material" dataDxfId="48"/>
    <tableColumn id="7" name="MASS1" dataDxfId="47"/>
    <tableColumn id="8" name="Drawing Code1" dataDxfId="46"/>
    <tableColumn id="9" name="Quantity" dataDxfId="45"/>
  </tableColumns>
  <tableStyleInfo name="TableStyleLight8" showFirstColumn="0" showLastColumn="0" showRowStripes="1" showColumnStripes="0"/>
</table>
</file>

<file path=xl/tables/table2.xml><?xml version="1.0" encoding="utf-8"?>
<table xmlns="http://schemas.openxmlformats.org/spreadsheetml/2006/main" id="1" name="Table3D" displayName="Table3D" ref="A13:D87" totalsRowShown="0" headerRowDxfId="44" dataDxfId="42" headerRowBorderDxfId="43" tableBorderDxfId="41">
  <autoFilter ref="A13:D87"/>
  <sortState ref="A14:D87">
    <sortCondition ref="C13:C87"/>
  </sortState>
  <tableColumns count="4">
    <tableColumn id="1" name="QTY REQD" dataDxfId="40"/>
    <tableColumn id="2" name="PART OR IDENTIFYING NO." dataDxfId="39"/>
    <tableColumn id="3" name="NOMENCLATURE OR DESCRIPTION" dataDxfId="38"/>
    <tableColumn id="4" name="Column1" dataDxfId="37"/>
  </tableColumns>
  <tableStyleInfo name="TableStyleMedium1" showFirstColumn="0" showLastColumn="0" showRowStripes="1" showColumnStripes="0"/>
</table>
</file>

<file path=xl/tables/table3.xml><?xml version="1.0" encoding="utf-8"?>
<table xmlns="http://schemas.openxmlformats.org/spreadsheetml/2006/main" id="2" name="Table2D" displayName="Table2D" ref="E13:I39" totalsRowShown="0" headerRowDxfId="36" dataDxfId="34" headerRowBorderDxfId="35" tableBorderDxfId="33">
  <autoFilter ref="E13:I39"/>
  <tableColumns count="5">
    <tableColumn id="1" name="QTY REQD" dataDxfId="32"/>
    <tableColumn id="2" name="PART OR IDENTIFYING NO." dataDxfId="31"/>
    <tableColumn id="3" name="NOMENCLATURE OR DESCRIPTION" dataDxfId="30"/>
    <tableColumn id="4" name="MATL SPEC" dataDxfId="29"/>
    <tableColumn id="5" name="ITEM NO." dataDxfId="28"/>
  </tableColumns>
  <tableStyleInfo name="TableStyleLight8" showFirstColumn="0" showLastColumn="0" showRowStripes="1" showColumnStripes="0"/>
</table>
</file>

<file path=xl/tables/table4.xml><?xml version="1.0" encoding="utf-8"?>
<table xmlns="http://schemas.openxmlformats.org/spreadsheetml/2006/main" id="8" name="Table9" displayName="Table9" ref="L15:N22" totalsRowShown="0" headerRowDxfId="27" headerRowBorderDxfId="26" tableBorderDxfId="25">
  <tableColumns count="3">
    <tableColumn id="1" name="- 3A -"/>
    <tableColumn id="2" name="Used On"/>
    <tableColumn id="3" name="Qty"/>
  </tableColumns>
  <tableStyleInfo name="TableStyleLight1" showFirstColumn="0" showLastColumn="0" showRowStripes="1" showColumnStripes="0"/>
</table>
</file>

<file path=xl/tables/table5.xml><?xml version="1.0" encoding="utf-8"?>
<table xmlns="http://schemas.openxmlformats.org/spreadsheetml/2006/main" id="3" name="Table7" displayName="Table7" ref="A4:E26" totalsRowShown="0" headerRowDxfId="24" dataDxfId="23">
  <autoFilter ref="A4:E26"/>
  <tableColumns count="5">
    <tableColumn id="1" name="Old Name" dataDxfId="22"/>
    <tableColumn id="2" name="New Name" dataDxfId="21"/>
    <tableColumn id="3" name="New Instance Name" dataDxfId="20"/>
    <tableColumn id="4" name="New Description" dataDxfId="19"/>
    <tableColumn id="5" name="New Nomenclature" dataDxfId="18"/>
  </tableColumns>
  <tableStyleInfo name="TableStyleMedium17" showFirstColumn="0" showLastColumn="0" showRowStripes="1" showColumnStripes="0"/>
</table>
</file>

<file path=xl/tables/table6.xml><?xml version="1.0" encoding="utf-8"?>
<table xmlns="http://schemas.openxmlformats.org/spreadsheetml/2006/main" id="5" name="Table5" displayName="Table5" ref="K14:P35" totalsRowShown="0" headerRowDxfId="17">
  <autoFilter ref="K14:P35"/>
  <tableColumns count="6">
    <tableColumn id="1" name="Part">
      <calculatedColumnFormula>IF( $K$1&lt;&gt;"",$K$1&amp;S14,"")</calculatedColumnFormula>
    </tableColumn>
    <tableColumn id="2" name="Sub -500s">
      <calculatedColumnFormula>IF( $K$1&lt;&gt;"",$K$1&amp;T14,"")</calculatedColumnFormula>
    </tableColumn>
    <tableColumn id="3" name="RFD1">
      <calculatedColumnFormula>IF( $K$1&lt;&gt;"",$K$1&amp;U14,"")</calculatedColumnFormula>
    </tableColumn>
    <tableColumn id="4" name="RFD2">
      <calculatedColumnFormula>IF( $K$1&lt;&gt;"",$K$1&amp;V14,"")</calculatedColumnFormula>
    </tableColumn>
    <tableColumn id="5" name="RFD3">
      <calculatedColumnFormula>IF( $K$1&lt;&gt;"",$K$1&amp;W14,"")</calculatedColumnFormula>
    </tableColumn>
    <tableColumn id="6" name="Sub -600s">
      <calculatedColumnFormula>IF( $K$1&lt;&gt;"",$K$1&amp;X14,"")</calculatedColumnFormula>
    </tableColumn>
  </tableColumns>
  <tableStyleInfo name="TableStyleLight1" showFirstColumn="0" showLastColumn="0" showRowStripes="1" showColumnStripes="0"/>
</table>
</file>

<file path=xl/tables/table7.xml><?xml version="1.0" encoding="utf-8"?>
<table xmlns="http://schemas.openxmlformats.org/spreadsheetml/2006/main" id="9" name="Electrical" displayName="Electrical" ref="A2:A14" totalsRowShown="0" headerRowDxfId="16" headerRowCellStyle="Accent1">
  <tableColumns count="1">
    <tableColumn id="1" name="Electrical components"/>
  </tableColumns>
  <tableStyleInfo name="TableStyleLight9" showFirstColumn="0" showLastColumn="0" showRowStripes="1" showColumnStripes="0"/>
</table>
</file>

<file path=xl/tables/table8.xml><?xml version="1.0" encoding="utf-8"?>
<table xmlns="http://schemas.openxmlformats.org/spreadsheetml/2006/main" id="6" name="Notes" displayName="Notes" ref="A2:B13" totalsRowShown="0" headerRowDxfId="15" dataDxfId="14">
  <autoFilter ref="A2:B13"/>
  <tableColumns count="2">
    <tableColumn id="1" name="Nomenclature" dataDxfId="13"/>
    <tableColumn id="2" name="Note" dataDxfId="12"/>
  </tableColumns>
  <tableStyleInfo name="TableStyleLight9" showFirstColumn="0" showLastColumn="0" showRowStripes="1" showColumnStripes="0"/>
</table>
</file>

<file path=xl/tables/table9.xml><?xml version="1.0" encoding="utf-8"?>
<table xmlns="http://schemas.openxmlformats.org/spreadsheetml/2006/main" id="13" name="Table13" displayName="Table13" ref="M4:Q31" totalsRowShown="0" headerRowDxfId="11" dataDxfId="10">
  <autoFilter ref="M4:Q31"/>
  <tableColumns count="5">
    <tableColumn id="1" name="Material" dataDxfId="9"/>
    <tableColumn id="2" name="Notes" dataDxfId="8"/>
    <tableColumn id="3" name="Description" dataDxfId="7"/>
    <tableColumn id="4" name="Common usage" dataDxfId="6"/>
    <tableColumn id="5" name="CORE" dataDxfId="5"/>
  </tableColumns>
  <tableStyleInfo name="TableStyleLight8" showFirstColumn="0" showLastColumn="0" showRowStripes="1" showColumnStripes="0"/>
</table>
</file>

<file path=xl/tables/table10.xml><?xml version="1.0" encoding="utf-8"?>
<table xmlns="http://schemas.openxmlformats.org/spreadsheetml/2006/main" id="10" name="Inserts" displayName="Inserts" ref="A2:C150" tableType="queryTable" totalsRowShown="0">
  <autoFilter ref="A2:C150"/>
  <tableColumns count="3">
    <tableColumn id="1" uniqueName="1" name="Part Number" queryTableFieldId="1"/>
    <tableColumn id="2" uniqueName="2" name="Description" queryTableFieldId="2"/>
    <tableColumn id="3" uniqueName="3" name="Flag Note Callout" queryTableFieldId="3"/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id="11" name="Hwd" displayName="Hwd" ref="H2:J987" tableType="queryTable" totalsRowShown="0">
  <autoFilter ref="H2:J987"/>
  <tableColumns count="3">
    <tableColumn id="1" uniqueName="1" name="Part Number" queryTableFieldId="1"/>
    <tableColumn id="2" uniqueName="2" name="Description" queryTableFieldId="2"/>
    <tableColumn id="3" uniqueName="3" name="Flag Note Callout" queryTableFieldId="3"/>
  </tableColumns>
  <tableStyleInfo name="TableStyleMedium2" showFirstColumn="0" showLastColumn="0" showRowStripes="1" showColumnStripes="0"/>
</table>
</file>

<file path=xl/tables/table12.xml><?xml version="1.0" encoding="utf-8"?>
<table xmlns="http://schemas.openxmlformats.org/spreadsheetml/2006/main" id="7" name="Table8" displayName="Table8" ref="A2:C13" totalsRowShown="0" headerRowDxfId="4" dataDxfId="3">
  <autoFilter ref="A2:C13"/>
  <tableColumns count="3">
    <tableColumn id="1" name="Part No" dataDxfId="2"/>
    <tableColumn id="2" name="Parent" dataDxfId="1"/>
    <tableColumn id="3" name="Qty" dataDxfId="0"/>
  </tableColumns>
  <tableStyleInfo name="TableStyleLight9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1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4.xml"/><Relationship Id="rId13" Type="http://schemas.openxmlformats.org/officeDocument/2006/relationships/control" Target="../activeX/activeX7.xml"/><Relationship Id="rId18" Type="http://schemas.openxmlformats.org/officeDocument/2006/relationships/image" Target="../media/image8.emf"/><Relationship Id="rId26" Type="http://schemas.openxmlformats.org/officeDocument/2006/relationships/table" Target="../tables/table2.xml"/><Relationship Id="rId3" Type="http://schemas.openxmlformats.org/officeDocument/2006/relationships/vmlDrawing" Target="../drawings/vmlDrawing2.vml"/><Relationship Id="rId21" Type="http://schemas.openxmlformats.org/officeDocument/2006/relationships/control" Target="../activeX/activeX12.xml"/><Relationship Id="rId7" Type="http://schemas.openxmlformats.org/officeDocument/2006/relationships/image" Target="../media/image3.emf"/><Relationship Id="rId12" Type="http://schemas.openxmlformats.org/officeDocument/2006/relationships/image" Target="../media/image5.emf"/><Relationship Id="rId17" Type="http://schemas.openxmlformats.org/officeDocument/2006/relationships/control" Target="../activeX/activeX9.xml"/><Relationship Id="rId25" Type="http://schemas.openxmlformats.org/officeDocument/2006/relationships/image" Target="../media/image10.emf"/><Relationship Id="rId2" Type="http://schemas.openxmlformats.org/officeDocument/2006/relationships/drawing" Target="../drawings/drawing2.xml"/><Relationship Id="rId16" Type="http://schemas.openxmlformats.org/officeDocument/2006/relationships/image" Target="../media/image7.emf"/><Relationship Id="rId20" Type="http://schemas.openxmlformats.org/officeDocument/2006/relationships/control" Target="../activeX/activeX11.xml"/><Relationship Id="rId29" Type="http://schemas.openxmlformats.org/officeDocument/2006/relationships/comments" Target="../comments1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3.xml"/><Relationship Id="rId11" Type="http://schemas.openxmlformats.org/officeDocument/2006/relationships/control" Target="../activeX/activeX6.xml"/><Relationship Id="rId24" Type="http://schemas.openxmlformats.org/officeDocument/2006/relationships/control" Target="../activeX/activeX14.xml"/><Relationship Id="rId5" Type="http://schemas.openxmlformats.org/officeDocument/2006/relationships/image" Target="../media/image2.emf"/><Relationship Id="rId15" Type="http://schemas.openxmlformats.org/officeDocument/2006/relationships/control" Target="../activeX/activeX8.xml"/><Relationship Id="rId23" Type="http://schemas.openxmlformats.org/officeDocument/2006/relationships/image" Target="../media/image9.emf"/><Relationship Id="rId28" Type="http://schemas.openxmlformats.org/officeDocument/2006/relationships/table" Target="../tables/table4.xml"/><Relationship Id="rId10" Type="http://schemas.openxmlformats.org/officeDocument/2006/relationships/control" Target="../activeX/activeX5.xml"/><Relationship Id="rId19" Type="http://schemas.openxmlformats.org/officeDocument/2006/relationships/control" Target="../activeX/activeX10.xml"/><Relationship Id="rId4" Type="http://schemas.openxmlformats.org/officeDocument/2006/relationships/control" Target="../activeX/activeX2.xml"/><Relationship Id="rId9" Type="http://schemas.openxmlformats.org/officeDocument/2006/relationships/image" Target="../media/image4.emf"/><Relationship Id="rId14" Type="http://schemas.openxmlformats.org/officeDocument/2006/relationships/image" Target="../media/image6.emf"/><Relationship Id="rId22" Type="http://schemas.openxmlformats.org/officeDocument/2006/relationships/control" Target="../activeX/activeX13.xml"/><Relationship Id="rId27" Type="http://schemas.openxmlformats.org/officeDocument/2006/relationships/table" Target="../tables/table3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5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4" Type="http://schemas.openxmlformats.org/officeDocument/2006/relationships/image" Target="../media/image1.emf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6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4" Type="http://schemas.openxmlformats.org/officeDocument/2006/relationships/image" Target="../media/image1.emf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7" Type="http://schemas.openxmlformats.org/officeDocument/2006/relationships/table" Target="../tables/table6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3.bin"/><Relationship Id="rId6" Type="http://schemas.openxmlformats.org/officeDocument/2006/relationships/table" Target="../tables/table5.xml"/><Relationship Id="rId5" Type="http://schemas.openxmlformats.org/officeDocument/2006/relationships/image" Target="../media/image12.emf"/><Relationship Id="rId4" Type="http://schemas.openxmlformats.org/officeDocument/2006/relationships/control" Target="../activeX/activeX17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7.xml"/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7" Type="http://schemas.openxmlformats.org/officeDocument/2006/relationships/table" Target="../tables/table9.x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5.bin"/><Relationship Id="rId6" Type="http://schemas.openxmlformats.org/officeDocument/2006/relationships/table" Target="../tables/table8.xml"/><Relationship Id="rId5" Type="http://schemas.openxmlformats.org/officeDocument/2006/relationships/image" Target="../media/image13.emf"/><Relationship Id="rId4" Type="http://schemas.openxmlformats.org/officeDocument/2006/relationships/control" Target="../activeX/activeX18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9.xml"/><Relationship Id="rId2" Type="http://schemas.openxmlformats.org/officeDocument/2006/relationships/vmlDrawing" Target="../drawings/vmlDrawing7.vml"/><Relationship Id="rId1" Type="http://schemas.openxmlformats.org/officeDocument/2006/relationships/drawing" Target="../drawings/drawing7.xml"/><Relationship Id="rId6" Type="http://schemas.openxmlformats.org/officeDocument/2006/relationships/table" Target="../tables/table11.xml"/><Relationship Id="rId5" Type="http://schemas.openxmlformats.org/officeDocument/2006/relationships/table" Target="../tables/table10.xml"/><Relationship Id="rId4" Type="http://schemas.openxmlformats.org/officeDocument/2006/relationships/image" Target="../media/image14.emf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2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AG938"/>
  <sheetViews>
    <sheetView topLeftCell="H1" zoomScale="60" zoomScaleNormal="60" workbookViewId="0">
      <selection activeCell="O51" sqref="O51"/>
    </sheetView>
  </sheetViews>
  <sheetFormatPr defaultRowHeight="15" x14ac:dyDescent="0.25"/>
  <cols>
    <col min="1" max="1" width="14.140625" bestFit="1" customWidth="1"/>
    <col min="3" max="3" width="20.140625" bestFit="1" customWidth="1"/>
    <col min="14" max="14" width="25.140625" bestFit="1" customWidth="1"/>
    <col min="15" max="15" width="14.42578125" customWidth="1"/>
    <col min="16" max="16" width="68" bestFit="1" customWidth="1"/>
    <col min="17" max="17" width="71.7109375" bestFit="1" customWidth="1"/>
    <col min="18" max="18" width="14" bestFit="1" customWidth="1"/>
    <col min="19" max="19" width="16.85546875" customWidth="1"/>
    <col min="20" max="20" width="19" bestFit="1" customWidth="1"/>
    <col min="21" max="21" width="13.28515625" bestFit="1" customWidth="1"/>
    <col min="22" max="22" width="10.85546875" customWidth="1"/>
    <col min="26" max="26" width="32" bestFit="1" customWidth="1"/>
    <col min="27" max="27" width="10.42578125" bestFit="1" customWidth="1"/>
    <col min="28" max="28" width="94.42578125" bestFit="1" customWidth="1"/>
    <col min="29" max="29" width="101.28515625" customWidth="1"/>
    <col min="30" max="30" width="44.7109375" bestFit="1" customWidth="1"/>
    <col min="31" max="31" width="14.7109375" bestFit="1" customWidth="1"/>
    <col min="32" max="32" width="16.28515625" bestFit="1" customWidth="1"/>
    <col min="33" max="33" width="9.7109375" bestFit="1" customWidth="1"/>
  </cols>
  <sheetData>
    <row r="1" spans="1:33" x14ac:dyDescent="0.25">
      <c r="A1" s="7">
        <v>4543545</v>
      </c>
      <c r="M1" s="1" t="s">
        <v>262</v>
      </c>
      <c r="N1" s="1" t="s">
        <v>263</v>
      </c>
      <c r="O1" s="1" t="s">
        <v>264</v>
      </c>
      <c r="P1" s="1" t="s">
        <v>265</v>
      </c>
      <c r="Q1" s="1" t="s">
        <v>266</v>
      </c>
      <c r="R1" s="1" t="s">
        <v>267</v>
      </c>
      <c r="S1" s="1" t="s">
        <v>268</v>
      </c>
      <c r="T1" s="1" t="s">
        <v>269</v>
      </c>
      <c r="U1" s="1" t="s">
        <v>270</v>
      </c>
      <c r="Y1" s="8" t="s">
        <v>262</v>
      </c>
      <c r="Z1" s="8" t="s">
        <v>263</v>
      </c>
      <c r="AA1" s="8" t="s">
        <v>264</v>
      </c>
      <c r="AB1" s="8" t="s">
        <v>265</v>
      </c>
      <c r="AC1" s="8" t="s">
        <v>266</v>
      </c>
      <c r="AD1" s="8" t="s">
        <v>267</v>
      </c>
      <c r="AE1" s="8" t="s">
        <v>268</v>
      </c>
      <c r="AF1" s="8" t="s">
        <v>269</v>
      </c>
      <c r="AG1" s="9" t="s">
        <v>270</v>
      </c>
    </row>
    <row r="2" spans="1:33" x14ac:dyDescent="0.25">
      <c r="M2" s="2">
        <v>1</v>
      </c>
      <c r="N2" s="2" t="s">
        <v>12</v>
      </c>
      <c r="O2" s="2" t="s">
        <v>13</v>
      </c>
      <c r="P2" s="2" t="s">
        <v>14</v>
      </c>
      <c r="Q2" s="2" t="s">
        <v>14</v>
      </c>
      <c r="R2" s="3"/>
      <c r="S2" s="3"/>
      <c r="T2" s="2" t="s">
        <v>15</v>
      </c>
      <c r="U2" s="3"/>
      <c r="Y2" s="10">
        <v>1</v>
      </c>
      <c r="Z2" s="10" t="s">
        <v>271</v>
      </c>
      <c r="AA2" s="10" t="s">
        <v>272</v>
      </c>
      <c r="AB2" s="10" t="s">
        <v>273</v>
      </c>
      <c r="AC2" s="10" t="s">
        <v>273</v>
      </c>
      <c r="AF2" s="10" t="s">
        <v>274</v>
      </c>
    </row>
    <row r="3" spans="1:33" x14ac:dyDescent="0.25">
      <c r="M3" s="4">
        <v>2</v>
      </c>
      <c r="N3" s="4" t="s">
        <v>16</v>
      </c>
      <c r="O3" s="4" t="s">
        <v>17</v>
      </c>
      <c r="P3" s="4" t="s">
        <v>18</v>
      </c>
      <c r="Q3" s="4" t="s">
        <v>18</v>
      </c>
      <c r="R3" s="3"/>
      <c r="S3" s="3"/>
      <c r="T3" s="4" t="s">
        <v>19</v>
      </c>
      <c r="U3" s="4">
        <v>1</v>
      </c>
      <c r="Y3" s="9">
        <v>2</v>
      </c>
      <c r="Z3" s="9" t="s">
        <v>275</v>
      </c>
      <c r="AA3" s="9" t="s">
        <v>29</v>
      </c>
      <c r="AB3" s="9" t="s">
        <v>276</v>
      </c>
      <c r="AC3" s="9" t="s">
        <v>276</v>
      </c>
      <c r="AF3" s="9" t="s">
        <v>218</v>
      </c>
      <c r="AG3" s="9">
        <v>1</v>
      </c>
    </row>
    <row r="4" spans="1:33" x14ac:dyDescent="0.25">
      <c r="M4" s="2">
        <v>3</v>
      </c>
      <c r="N4" s="2" t="s">
        <v>20</v>
      </c>
      <c r="O4" s="2" t="s">
        <v>17</v>
      </c>
      <c r="P4" s="2" t="s">
        <v>21</v>
      </c>
      <c r="Q4" s="2" t="s">
        <v>22</v>
      </c>
      <c r="R4" s="2" t="s">
        <v>23</v>
      </c>
      <c r="S4" s="2">
        <v>0.138678</v>
      </c>
      <c r="T4" s="2" t="s">
        <v>19</v>
      </c>
      <c r="U4" s="2">
        <v>1</v>
      </c>
      <c r="Y4" s="10">
        <v>3</v>
      </c>
      <c r="Z4" s="10" t="s">
        <v>277</v>
      </c>
      <c r="AA4" s="10" t="s">
        <v>78</v>
      </c>
      <c r="AB4" s="10"/>
      <c r="AC4" s="10" t="s">
        <v>278</v>
      </c>
      <c r="AD4" s="10" t="s">
        <v>279</v>
      </c>
      <c r="AE4" s="10">
        <v>1.21332</v>
      </c>
      <c r="AF4" s="10" t="s">
        <v>218</v>
      </c>
      <c r="AG4" s="10">
        <v>1</v>
      </c>
    </row>
    <row r="5" spans="1:33" x14ac:dyDescent="0.25">
      <c r="M5" s="2">
        <v>3</v>
      </c>
      <c r="N5" s="2" t="s">
        <v>24</v>
      </c>
      <c r="O5" s="2" t="s">
        <v>25</v>
      </c>
      <c r="P5" s="2"/>
      <c r="Q5" s="2" t="s">
        <v>26</v>
      </c>
      <c r="R5" s="2" t="s">
        <v>27</v>
      </c>
      <c r="S5" s="2"/>
      <c r="T5" s="2"/>
      <c r="U5" s="2">
        <v>2</v>
      </c>
      <c r="Y5" s="10">
        <v>3</v>
      </c>
      <c r="Z5" s="10" t="s">
        <v>280</v>
      </c>
      <c r="AA5" s="10" t="s">
        <v>78</v>
      </c>
      <c r="AB5" s="10"/>
      <c r="AC5" s="10" t="s">
        <v>278</v>
      </c>
      <c r="AD5" s="10" t="s">
        <v>279</v>
      </c>
      <c r="AE5" s="10">
        <v>0.108525</v>
      </c>
      <c r="AF5" s="10" t="s">
        <v>218</v>
      </c>
      <c r="AG5" s="10">
        <v>1</v>
      </c>
    </row>
    <row r="6" spans="1:33" x14ac:dyDescent="0.25">
      <c r="M6" s="4">
        <v>2</v>
      </c>
      <c r="N6" s="4" t="s">
        <v>28</v>
      </c>
      <c r="O6" s="4" t="s">
        <v>29</v>
      </c>
      <c r="P6" s="4" t="s">
        <v>30</v>
      </c>
      <c r="Q6" s="4" t="s">
        <v>31</v>
      </c>
      <c r="R6" s="3"/>
      <c r="S6" s="3"/>
      <c r="T6" s="4" t="s">
        <v>19</v>
      </c>
      <c r="U6" s="4">
        <v>1</v>
      </c>
      <c r="Y6" s="10">
        <v>3</v>
      </c>
      <c r="Z6" s="10" t="s">
        <v>281</v>
      </c>
      <c r="AA6" s="10" t="s">
        <v>78</v>
      </c>
      <c r="AB6" s="10"/>
      <c r="AC6" s="10" t="s">
        <v>278</v>
      </c>
      <c r="AD6" s="10" t="s">
        <v>279</v>
      </c>
      <c r="AE6" s="10">
        <v>3.3537299999999999E-2</v>
      </c>
      <c r="AF6" s="10" t="s">
        <v>218</v>
      </c>
      <c r="AG6" s="10">
        <v>1</v>
      </c>
    </row>
    <row r="7" spans="1:33" x14ac:dyDescent="0.25">
      <c r="M7" s="2">
        <v>3</v>
      </c>
      <c r="N7" s="2" t="s">
        <v>32</v>
      </c>
      <c r="O7" s="2" t="s">
        <v>29</v>
      </c>
      <c r="P7" s="2" t="s">
        <v>33</v>
      </c>
      <c r="Q7" s="2" t="s">
        <v>22</v>
      </c>
      <c r="R7" s="2" t="s">
        <v>23</v>
      </c>
      <c r="S7" s="2">
        <v>0.114463</v>
      </c>
      <c r="T7" s="2" t="s">
        <v>19</v>
      </c>
      <c r="U7" s="2">
        <v>1</v>
      </c>
      <c r="Y7" s="10">
        <v>3</v>
      </c>
      <c r="Z7" s="10" t="s">
        <v>282</v>
      </c>
      <c r="AA7" s="10" t="s">
        <v>78</v>
      </c>
      <c r="AB7" s="10"/>
      <c r="AC7" s="10" t="s">
        <v>278</v>
      </c>
      <c r="AD7" s="10" t="s">
        <v>279</v>
      </c>
      <c r="AE7" s="10">
        <v>5.4883500000000002E-2</v>
      </c>
      <c r="AF7" s="10" t="s">
        <v>218</v>
      </c>
      <c r="AG7" s="10">
        <v>1</v>
      </c>
    </row>
    <row r="8" spans="1:33" x14ac:dyDescent="0.25">
      <c r="M8" s="2">
        <v>3</v>
      </c>
      <c r="N8" s="2" t="s">
        <v>34</v>
      </c>
      <c r="O8" s="2" t="s">
        <v>35</v>
      </c>
      <c r="P8" s="2"/>
      <c r="Q8" s="2" t="s">
        <v>36</v>
      </c>
      <c r="R8" s="2" t="s">
        <v>27</v>
      </c>
      <c r="S8" s="2"/>
      <c r="T8" s="2"/>
      <c r="U8" s="2">
        <v>2</v>
      </c>
      <c r="Y8" s="10">
        <v>3</v>
      </c>
      <c r="Z8" s="10" t="s">
        <v>283</v>
      </c>
      <c r="AA8" s="10" t="s">
        <v>78</v>
      </c>
      <c r="AB8" s="10"/>
      <c r="AC8" s="10" t="s">
        <v>278</v>
      </c>
      <c r="AD8" s="10" t="s">
        <v>279</v>
      </c>
      <c r="AE8" s="10">
        <v>1.11216</v>
      </c>
      <c r="AF8" s="10" t="s">
        <v>218</v>
      </c>
      <c r="AG8" s="10">
        <v>1</v>
      </c>
    </row>
    <row r="9" spans="1:33" x14ac:dyDescent="0.25">
      <c r="M9" s="2">
        <v>3</v>
      </c>
      <c r="N9" s="2" t="s">
        <v>37</v>
      </c>
      <c r="O9" s="2" t="s">
        <v>25</v>
      </c>
      <c r="P9" s="2" t="s">
        <v>38</v>
      </c>
      <c r="Q9" s="2" t="s">
        <v>38</v>
      </c>
      <c r="R9" s="2" t="s">
        <v>27</v>
      </c>
      <c r="S9" s="2">
        <v>1.3392499999999999E-3</v>
      </c>
      <c r="T9" s="2"/>
      <c r="U9" s="2">
        <v>6</v>
      </c>
      <c r="Y9" s="9">
        <v>2</v>
      </c>
      <c r="Z9" s="9" t="s">
        <v>284</v>
      </c>
      <c r="AA9" s="9" t="s">
        <v>131</v>
      </c>
      <c r="AB9" s="9" t="s">
        <v>285</v>
      </c>
      <c r="AC9" s="9" t="s">
        <v>285</v>
      </c>
      <c r="AD9" s="9"/>
      <c r="AE9" s="9">
        <v>7.5653600000000001</v>
      </c>
      <c r="AF9" s="9" t="s">
        <v>223</v>
      </c>
      <c r="AG9" s="9">
        <v>1</v>
      </c>
    </row>
    <row r="10" spans="1:33" x14ac:dyDescent="0.25">
      <c r="M10" s="4">
        <v>2</v>
      </c>
      <c r="N10" s="4" t="s">
        <v>39</v>
      </c>
      <c r="O10" s="4" t="s">
        <v>40</v>
      </c>
      <c r="P10" s="4" t="s">
        <v>41</v>
      </c>
      <c r="Q10" s="4" t="s">
        <v>42</v>
      </c>
      <c r="R10" s="3"/>
      <c r="S10" s="3"/>
      <c r="T10" s="4" t="s">
        <v>19</v>
      </c>
      <c r="U10" s="4">
        <v>1</v>
      </c>
      <c r="Y10" s="9">
        <v>2</v>
      </c>
      <c r="Z10" s="9" t="s">
        <v>286</v>
      </c>
      <c r="AA10" s="9" t="s">
        <v>287</v>
      </c>
      <c r="AB10" s="9" t="s">
        <v>288</v>
      </c>
      <c r="AC10" s="9" t="s">
        <v>288</v>
      </c>
      <c r="AF10" s="9" t="s">
        <v>289</v>
      </c>
      <c r="AG10" s="9">
        <v>1</v>
      </c>
    </row>
    <row r="11" spans="1:33" x14ac:dyDescent="0.25">
      <c r="M11" s="2">
        <v>3</v>
      </c>
      <c r="N11" s="2" t="s">
        <v>43</v>
      </c>
      <c r="O11" s="2" t="s">
        <v>40</v>
      </c>
      <c r="P11" s="2" t="s">
        <v>44</v>
      </c>
      <c r="Q11" s="2" t="s">
        <v>22</v>
      </c>
      <c r="R11" s="2" t="s">
        <v>45</v>
      </c>
      <c r="S11" s="2">
        <v>0.22237299999999999</v>
      </c>
      <c r="T11" s="2" t="s">
        <v>19</v>
      </c>
      <c r="U11" s="2">
        <v>1</v>
      </c>
      <c r="Y11" s="10">
        <v>3</v>
      </c>
      <c r="Z11" s="10" t="s">
        <v>290</v>
      </c>
      <c r="AA11" s="10" t="s">
        <v>287</v>
      </c>
      <c r="AB11" s="10" t="s">
        <v>291</v>
      </c>
      <c r="AC11" s="10" t="s">
        <v>291</v>
      </c>
      <c r="AD11" s="10" t="s">
        <v>292</v>
      </c>
      <c r="AE11" s="10">
        <v>0.27051500000000001</v>
      </c>
      <c r="AF11" s="10" t="s">
        <v>274</v>
      </c>
      <c r="AG11" s="10">
        <v>1</v>
      </c>
    </row>
    <row r="12" spans="1:33" x14ac:dyDescent="0.25">
      <c r="A12">
        <v>127</v>
      </c>
      <c r="M12" s="2">
        <v>3</v>
      </c>
      <c r="N12" s="2" t="s">
        <v>46</v>
      </c>
      <c r="O12" s="2" t="s">
        <v>25</v>
      </c>
      <c r="P12" s="2"/>
      <c r="Q12" s="2" t="s">
        <v>47</v>
      </c>
      <c r="R12" s="2" t="s">
        <v>27</v>
      </c>
      <c r="S12" s="2"/>
      <c r="T12" s="2"/>
      <c r="U12" s="2">
        <v>4</v>
      </c>
      <c r="Y12" s="10">
        <v>3</v>
      </c>
      <c r="Z12" s="10" t="s">
        <v>293</v>
      </c>
      <c r="AA12" s="10" t="s">
        <v>287</v>
      </c>
      <c r="AB12" s="10" t="s">
        <v>294</v>
      </c>
      <c r="AC12" s="10" t="s">
        <v>294</v>
      </c>
      <c r="AD12" s="10" t="s">
        <v>294</v>
      </c>
      <c r="AE12" s="10">
        <v>2.0772499999999998</v>
      </c>
      <c r="AF12" s="10" t="s">
        <v>289</v>
      </c>
      <c r="AG12" s="10">
        <v>1</v>
      </c>
    </row>
    <row r="13" spans="1:33" x14ac:dyDescent="0.25">
      <c r="A13">
        <v>2</v>
      </c>
      <c r="M13" s="2">
        <v>3</v>
      </c>
      <c r="N13" s="2" t="s">
        <v>48</v>
      </c>
      <c r="O13" s="2" t="s">
        <v>25</v>
      </c>
      <c r="P13" s="2"/>
      <c r="Q13" s="2" t="s">
        <v>36</v>
      </c>
      <c r="R13" s="2" t="s">
        <v>27</v>
      </c>
      <c r="S13" s="2">
        <v>6.0409799999999996E-3</v>
      </c>
      <c r="T13" s="2"/>
      <c r="U13" s="2">
        <v>7</v>
      </c>
      <c r="Y13" s="10">
        <v>3</v>
      </c>
      <c r="Z13" s="10" t="s">
        <v>295</v>
      </c>
      <c r="AA13" s="10" t="s">
        <v>287</v>
      </c>
      <c r="AB13" s="10" t="s">
        <v>296</v>
      </c>
      <c r="AC13" s="10" t="s">
        <v>296</v>
      </c>
      <c r="AD13" s="10" t="s">
        <v>297</v>
      </c>
      <c r="AE13" s="10">
        <v>1.6696800000000001</v>
      </c>
      <c r="AF13" s="10" t="s">
        <v>274</v>
      </c>
      <c r="AG13" s="10">
        <v>1</v>
      </c>
    </row>
    <row r="14" spans="1:33" x14ac:dyDescent="0.25">
      <c r="M14" s="2">
        <v>3</v>
      </c>
      <c r="N14" s="2" t="s">
        <v>49</v>
      </c>
      <c r="O14" s="2" t="s">
        <v>25</v>
      </c>
      <c r="P14" s="2" t="s">
        <v>50</v>
      </c>
      <c r="Q14" s="2" t="s">
        <v>50</v>
      </c>
      <c r="R14" s="2" t="s">
        <v>27</v>
      </c>
      <c r="S14" s="2"/>
      <c r="T14" s="2"/>
      <c r="U14" s="2">
        <v>8</v>
      </c>
      <c r="Y14" s="9">
        <v>2</v>
      </c>
      <c r="Z14" s="9" t="s">
        <v>298</v>
      </c>
      <c r="AA14" s="9" t="s">
        <v>299</v>
      </c>
      <c r="AB14" s="9" t="s">
        <v>300</v>
      </c>
      <c r="AC14" s="9" t="s">
        <v>300</v>
      </c>
      <c r="AF14" s="9" t="s">
        <v>218</v>
      </c>
      <c r="AG14" s="9">
        <v>1</v>
      </c>
    </row>
    <row r="15" spans="1:33" x14ac:dyDescent="0.25">
      <c r="M15" s="2">
        <v>3</v>
      </c>
      <c r="N15" s="2" t="s">
        <v>51</v>
      </c>
      <c r="O15" s="2" t="s">
        <v>25</v>
      </c>
      <c r="P15" s="2" t="s">
        <v>52</v>
      </c>
      <c r="Q15" s="2" t="s">
        <v>52</v>
      </c>
      <c r="R15" s="2" t="s">
        <v>27</v>
      </c>
      <c r="S15" s="2"/>
      <c r="T15" s="2"/>
      <c r="U15" s="2">
        <v>22</v>
      </c>
      <c r="Y15" s="10">
        <v>3</v>
      </c>
      <c r="Z15" s="10" t="s">
        <v>301</v>
      </c>
      <c r="AA15" s="10" t="s">
        <v>78</v>
      </c>
      <c r="AB15" s="10" t="s">
        <v>302</v>
      </c>
      <c r="AC15" s="10" t="s">
        <v>302</v>
      </c>
      <c r="AF15" s="10"/>
      <c r="AG15" s="10">
        <v>1</v>
      </c>
    </row>
    <row r="16" spans="1:33" x14ac:dyDescent="0.25">
      <c r="M16" s="4">
        <v>2</v>
      </c>
      <c r="N16" s="4" t="s">
        <v>53</v>
      </c>
      <c r="O16" s="4" t="s">
        <v>54</v>
      </c>
      <c r="P16" s="4" t="s">
        <v>55</v>
      </c>
      <c r="Q16" s="4" t="s">
        <v>55</v>
      </c>
      <c r="R16" s="3"/>
      <c r="S16" s="3"/>
      <c r="T16" s="4" t="s">
        <v>19</v>
      </c>
      <c r="U16" s="4">
        <v>1</v>
      </c>
      <c r="Y16" s="9">
        <v>4</v>
      </c>
      <c r="Z16" s="9" t="s">
        <v>303</v>
      </c>
      <c r="AA16" s="9" t="s">
        <v>78</v>
      </c>
      <c r="AB16" s="9" t="s">
        <v>304</v>
      </c>
      <c r="AC16" s="9" t="s">
        <v>305</v>
      </c>
      <c r="AD16" s="9" t="s">
        <v>101</v>
      </c>
      <c r="AE16" s="9">
        <v>0.526563</v>
      </c>
      <c r="AF16" s="9"/>
      <c r="AG16" s="9">
        <v>2</v>
      </c>
    </row>
    <row r="17" spans="13:33" ht="30" x14ac:dyDescent="0.25">
      <c r="M17" s="2">
        <v>3</v>
      </c>
      <c r="N17" s="2" t="s">
        <v>56</v>
      </c>
      <c r="O17" s="2" t="s">
        <v>25</v>
      </c>
      <c r="P17" s="2" t="s">
        <v>57</v>
      </c>
      <c r="Q17" s="2" t="s">
        <v>57</v>
      </c>
      <c r="R17" s="2" t="s">
        <v>27</v>
      </c>
      <c r="S17" s="2"/>
      <c r="T17" s="2"/>
      <c r="U17" s="2">
        <v>1</v>
      </c>
      <c r="Y17" s="9">
        <v>4</v>
      </c>
      <c r="Z17" s="9">
        <v>20712195</v>
      </c>
      <c r="AA17" s="9" t="s">
        <v>25</v>
      </c>
      <c r="AB17" s="11" t="s">
        <v>306</v>
      </c>
      <c r="AC17" s="9" t="s">
        <v>307</v>
      </c>
      <c r="AD17" s="9"/>
      <c r="AE17" s="9">
        <v>0</v>
      </c>
      <c r="AF17" s="9"/>
      <c r="AG17" s="9">
        <v>2</v>
      </c>
    </row>
    <row r="18" spans="13:33" x14ac:dyDescent="0.25">
      <c r="M18" s="2">
        <v>3</v>
      </c>
      <c r="N18" s="2" t="s">
        <v>58</v>
      </c>
      <c r="O18" s="2" t="s">
        <v>54</v>
      </c>
      <c r="P18" s="2" t="s">
        <v>59</v>
      </c>
      <c r="Q18" s="2" t="s">
        <v>22</v>
      </c>
      <c r="R18" s="2" t="s">
        <v>60</v>
      </c>
      <c r="S18" s="2">
        <v>0.11829099999999999</v>
      </c>
      <c r="T18" s="2" t="s">
        <v>19</v>
      </c>
      <c r="U18" s="2">
        <v>1</v>
      </c>
      <c r="Y18" s="9">
        <v>4</v>
      </c>
      <c r="Z18" s="9" t="s">
        <v>308</v>
      </c>
      <c r="AA18" s="9" t="s">
        <v>78</v>
      </c>
      <c r="AB18" s="9" t="s">
        <v>309</v>
      </c>
      <c r="AC18" s="9" t="s">
        <v>309</v>
      </c>
      <c r="AD18" s="9" t="s">
        <v>292</v>
      </c>
      <c r="AE18" s="9">
        <v>5.7090500000000002E-4</v>
      </c>
      <c r="AF18" s="9"/>
      <c r="AG18" s="9">
        <v>2</v>
      </c>
    </row>
    <row r="19" spans="13:33" ht="30" x14ac:dyDescent="0.25">
      <c r="M19" s="2">
        <v>3</v>
      </c>
      <c r="N19" s="2" t="s">
        <v>61</v>
      </c>
      <c r="O19" s="2" t="s">
        <v>25</v>
      </c>
      <c r="P19" s="2"/>
      <c r="Q19" s="2" t="s">
        <v>62</v>
      </c>
      <c r="R19" s="2" t="s">
        <v>27</v>
      </c>
      <c r="S19" s="2"/>
      <c r="T19" s="2"/>
      <c r="U19" s="2">
        <v>2</v>
      </c>
      <c r="Y19" s="9">
        <v>4</v>
      </c>
      <c r="Z19" s="9" t="s">
        <v>310</v>
      </c>
      <c r="AA19" s="9" t="s">
        <v>25</v>
      </c>
      <c r="AB19" s="11" t="s">
        <v>311</v>
      </c>
      <c r="AC19" s="9" t="s">
        <v>312</v>
      </c>
      <c r="AD19" s="9" t="s">
        <v>176</v>
      </c>
      <c r="AE19" s="9">
        <v>8.2232099999999999E-4</v>
      </c>
      <c r="AF19" s="9"/>
      <c r="AG19" s="9">
        <v>4</v>
      </c>
    </row>
    <row r="20" spans="13:33" x14ac:dyDescent="0.25">
      <c r="M20" s="2">
        <v>3</v>
      </c>
      <c r="N20" s="2" t="s">
        <v>49</v>
      </c>
      <c r="O20" s="2" t="s">
        <v>25</v>
      </c>
      <c r="P20" s="2" t="s">
        <v>50</v>
      </c>
      <c r="Q20" s="2" t="s">
        <v>50</v>
      </c>
      <c r="R20" s="2" t="s">
        <v>27</v>
      </c>
      <c r="S20" s="2"/>
      <c r="T20" s="2"/>
      <c r="U20" s="2">
        <v>3</v>
      </c>
      <c r="Y20" s="10">
        <v>3</v>
      </c>
      <c r="Z20" s="10" t="s">
        <v>12</v>
      </c>
      <c r="AA20" s="10" t="s">
        <v>13</v>
      </c>
      <c r="AB20" s="10" t="s">
        <v>14</v>
      </c>
      <c r="AC20" s="10" t="s">
        <v>14</v>
      </c>
      <c r="AF20" s="10" t="s">
        <v>15</v>
      </c>
      <c r="AG20" s="10">
        <v>1</v>
      </c>
    </row>
    <row r="21" spans="13:33" x14ac:dyDescent="0.25">
      <c r="M21" s="4">
        <v>2</v>
      </c>
      <c r="N21" s="4" t="s">
        <v>63</v>
      </c>
      <c r="O21" s="4" t="s">
        <v>40</v>
      </c>
      <c r="P21" s="4" t="s">
        <v>64</v>
      </c>
      <c r="Q21" s="4" t="s">
        <v>42</v>
      </c>
      <c r="R21" s="3"/>
      <c r="S21" s="3"/>
      <c r="T21" s="4" t="s">
        <v>19</v>
      </c>
      <c r="U21" s="4">
        <v>1</v>
      </c>
      <c r="Y21" s="9">
        <v>4</v>
      </c>
      <c r="Z21" s="9" t="s">
        <v>16</v>
      </c>
      <c r="AA21" s="9" t="s">
        <v>17</v>
      </c>
      <c r="AB21" s="9" t="s">
        <v>18</v>
      </c>
      <c r="AC21" s="9" t="s">
        <v>18</v>
      </c>
      <c r="AF21" s="9" t="s">
        <v>19</v>
      </c>
      <c r="AG21" s="9">
        <v>1</v>
      </c>
    </row>
    <row r="22" spans="13:33" ht="30" x14ac:dyDescent="0.25">
      <c r="M22" s="2">
        <v>3</v>
      </c>
      <c r="N22" s="2" t="s">
        <v>65</v>
      </c>
      <c r="O22" s="2" t="s">
        <v>40</v>
      </c>
      <c r="P22" s="5" t="s">
        <v>66</v>
      </c>
      <c r="Q22" s="2" t="s">
        <v>22</v>
      </c>
      <c r="R22" s="2" t="s">
        <v>45</v>
      </c>
      <c r="S22" s="2">
        <v>0.11043500000000001</v>
      </c>
      <c r="T22" s="2" t="s">
        <v>19</v>
      </c>
      <c r="U22" s="2">
        <v>1</v>
      </c>
      <c r="Y22" s="10">
        <v>5</v>
      </c>
      <c r="Z22" s="10" t="s">
        <v>20</v>
      </c>
      <c r="AA22" s="10" t="s">
        <v>17</v>
      </c>
      <c r="AB22" s="10" t="s">
        <v>21</v>
      </c>
      <c r="AC22" s="10" t="s">
        <v>22</v>
      </c>
      <c r="AD22" s="10" t="s">
        <v>23</v>
      </c>
      <c r="AE22" s="10">
        <v>0.138678</v>
      </c>
      <c r="AF22" s="10" t="s">
        <v>19</v>
      </c>
      <c r="AG22" s="10">
        <v>1</v>
      </c>
    </row>
    <row r="23" spans="13:33" x14ac:dyDescent="0.25">
      <c r="M23" s="2">
        <v>3</v>
      </c>
      <c r="N23" s="2" t="s">
        <v>56</v>
      </c>
      <c r="O23" s="2" t="s">
        <v>25</v>
      </c>
      <c r="P23" s="2" t="s">
        <v>57</v>
      </c>
      <c r="Q23" s="2" t="s">
        <v>57</v>
      </c>
      <c r="R23" s="2" t="s">
        <v>27</v>
      </c>
      <c r="S23" s="2"/>
      <c r="T23" s="2"/>
      <c r="U23" s="2">
        <v>11</v>
      </c>
      <c r="Y23" s="10">
        <v>5</v>
      </c>
      <c r="Z23" s="10" t="s">
        <v>24</v>
      </c>
      <c r="AA23" s="10" t="s">
        <v>25</v>
      </c>
      <c r="AB23" s="10"/>
      <c r="AC23" s="10" t="s">
        <v>26</v>
      </c>
      <c r="AD23" s="10" t="s">
        <v>27</v>
      </c>
      <c r="AE23" s="10"/>
      <c r="AF23" s="10"/>
      <c r="AG23" s="10">
        <v>2</v>
      </c>
    </row>
    <row r="24" spans="13:33" x14ac:dyDescent="0.25">
      <c r="M24" s="2">
        <v>3</v>
      </c>
      <c r="N24" s="2" t="s">
        <v>67</v>
      </c>
      <c r="O24" s="2" t="s">
        <v>25</v>
      </c>
      <c r="P24" s="2" t="s">
        <v>68</v>
      </c>
      <c r="Q24" s="2" t="s">
        <v>68</v>
      </c>
      <c r="R24" s="2" t="s">
        <v>27</v>
      </c>
      <c r="S24" s="2"/>
      <c r="T24" s="2"/>
      <c r="U24" s="2">
        <v>15</v>
      </c>
      <c r="Y24" s="9">
        <v>4</v>
      </c>
      <c r="Z24" s="9" t="s">
        <v>28</v>
      </c>
      <c r="AA24" s="9" t="s">
        <v>29</v>
      </c>
      <c r="AB24" s="9" t="s">
        <v>30</v>
      </c>
      <c r="AC24" s="9" t="s">
        <v>31</v>
      </c>
      <c r="AF24" s="9" t="s">
        <v>19</v>
      </c>
      <c r="AG24" s="9">
        <v>1</v>
      </c>
    </row>
    <row r="25" spans="13:33" x14ac:dyDescent="0.25">
      <c r="M25" s="2">
        <v>3</v>
      </c>
      <c r="N25" s="2" t="s">
        <v>49</v>
      </c>
      <c r="O25" s="2" t="s">
        <v>25</v>
      </c>
      <c r="P25" s="2" t="s">
        <v>50</v>
      </c>
      <c r="Q25" s="2" t="s">
        <v>50</v>
      </c>
      <c r="R25" s="2" t="s">
        <v>27</v>
      </c>
      <c r="S25" s="2"/>
      <c r="T25" s="2"/>
      <c r="U25" s="2">
        <v>24</v>
      </c>
      <c r="Y25" s="10">
        <v>5</v>
      </c>
      <c r="Z25" s="10" t="s">
        <v>32</v>
      </c>
      <c r="AA25" s="10" t="s">
        <v>29</v>
      </c>
      <c r="AB25" s="10" t="s">
        <v>33</v>
      </c>
      <c r="AC25" s="10" t="s">
        <v>22</v>
      </c>
      <c r="AD25" s="10" t="s">
        <v>23</v>
      </c>
      <c r="AE25" s="10">
        <v>0.114463</v>
      </c>
      <c r="AF25" s="10" t="s">
        <v>19</v>
      </c>
      <c r="AG25" s="10">
        <v>1</v>
      </c>
    </row>
    <row r="26" spans="13:33" x14ac:dyDescent="0.25">
      <c r="M26" s="4">
        <v>2</v>
      </c>
      <c r="N26" s="4" t="s">
        <v>69</v>
      </c>
      <c r="O26" s="4" t="s">
        <v>70</v>
      </c>
      <c r="P26" s="4" t="s">
        <v>71</v>
      </c>
      <c r="Q26" s="4" t="s">
        <v>72</v>
      </c>
      <c r="R26" s="3"/>
      <c r="S26" s="3"/>
      <c r="T26" s="4" t="s">
        <v>19</v>
      </c>
      <c r="U26" s="4">
        <v>1</v>
      </c>
      <c r="Y26" s="10">
        <v>5</v>
      </c>
      <c r="Z26" s="10" t="s">
        <v>34</v>
      </c>
      <c r="AA26" s="10" t="s">
        <v>35</v>
      </c>
      <c r="AB26" s="10"/>
      <c r="AC26" s="10" t="s">
        <v>36</v>
      </c>
      <c r="AD26" s="10" t="s">
        <v>27</v>
      </c>
      <c r="AE26" s="10"/>
      <c r="AF26" s="10"/>
      <c r="AG26" s="10">
        <v>2</v>
      </c>
    </row>
    <row r="27" spans="13:33" x14ac:dyDescent="0.25">
      <c r="M27" s="2">
        <v>3</v>
      </c>
      <c r="N27" s="2" t="s">
        <v>73</v>
      </c>
      <c r="O27" s="2" t="s">
        <v>70</v>
      </c>
      <c r="P27" s="2" t="s">
        <v>74</v>
      </c>
      <c r="Q27" s="2" t="s">
        <v>22</v>
      </c>
      <c r="R27" s="2" t="s">
        <v>45</v>
      </c>
      <c r="S27" s="2">
        <v>0.142319</v>
      </c>
      <c r="T27" s="2" t="s">
        <v>19</v>
      </c>
      <c r="U27" s="2">
        <v>1</v>
      </c>
      <c r="Y27" s="10">
        <v>5</v>
      </c>
      <c r="Z27" s="10" t="s">
        <v>37</v>
      </c>
      <c r="AA27" s="10" t="s">
        <v>25</v>
      </c>
      <c r="AB27" s="10" t="s">
        <v>38</v>
      </c>
      <c r="AC27" s="10" t="s">
        <v>38</v>
      </c>
      <c r="AD27" s="10" t="s">
        <v>27</v>
      </c>
      <c r="AE27" s="10">
        <v>1.3392499999999999E-3</v>
      </c>
      <c r="AF27" s="10"/>
      <c r="AG27" s="10">
        <v>6</v>
      </c>
    </row>
    <row r="28" spans="13:33" x14ac:dyDescent="0.25">
      <c r="M28" s="2">
        <v>3</v>
      </c>
      <c r="N28" s="2" t="s">
        <v>56</v>
      </c>
      <c r="O28" s="2" t="s">
        <v>25</v>
      </c>
      <c r="P28" s="2" t="s">
        <v>57</v>
      </c>
      <c r="Q28" s="2" t="s">
        <v>57</v>
      </c>
      <c r="R28" s="2" t="s">
        <v>27</v>
      </c>
      <c r="S28" s="2"/>
      <c r="T28" s="2"/>
      <c r="U28" s="2">
        <v>5</v>
      </c>
      <c r="Y28" s="9">
        <v>4</v>
      </c>
      <c r="Z28" s="9" t="s">
        <v>39</v>
      </c>
      <c r="AA28" s="9" t="s">
        <v>40</v>
      </c>
      <c r="AB28" s="9" t="s">
        <v>41</v>
      </c>
      <c r="AC28" s="9" t="s">
        <v>42</v>
      </c>
      <c r="AF28" s="9" t="s">
        <v>19</v>
      </c>
      <c r="AG28" s="9">
        <v>1</v>
      </c>
    </row>
    <row r="29" spans="13:33" x14ac:dyDescent="0.25">
      <c r="M29" s="2">
        <v>3</v>
      </c>
      <c r="N29" s="2" t="s">
        <v>75</v>
      </c>
      <c r="O29" s="2" t="s">
        <v>25</v>
      </c>
      <c r="P29" s="2" t="s">
        <v>76</v>
      </c>
      <c r="Q29" s="2" t="s">
        <v>76</v>
      </c>
      <c r="R29" s="2" t="s">
        <v>27</v>
      </c>
      <c r="S29" s="2"/>
      <c r="T29" s="2"/>
      <c r="U29" s="2">
        <v>6</v>
      </c>
      <c r="Y29" s="10">
        <v>5</v>
      </c>
      <c r="Z29" s="10" t="s">
        <v>43</v>
      </c>
      <c r="AA29" s="10" t="s">
        <v>40</v>
      </c>
      <c r="AB29" s="10" t="s">
        <v>44</v>
      </c>
      <c r="AC29" s="10" t="s">
        <v>22</v>
      </c>
      <c r="AD29" s="10" t="s">
        <v>45</v>
      </c>
      <c r="AE29" s="10">
        <v>0.22237299999999999</v>
      </c>
      <c r="AF29" s="10" t="s">
        <v>19</v>
      </c>
      <c r="AG29" s="10">
        <v>1</v>
      </c>
    </row>
    <row r="30" spans="13:33" x14ac:dyDescent="0.25">
      <c r="M30" s="2">
        <v>3</v>
      </c>
      <c r="N30" s="2" t="s">
        <v>49</v>
      </c>
      <c r="O30" s="2" t="s">
        <v>25</v>
      </c>
      <c r="P30" s="2" t="s">
        <v>50</v>
      </c>
      <c r="Q30" s="2" t="s">
        <v>50</v>
      </c>
      <c r="R30" s="2" t="s">
        <v>27</v>
      </c>
      <c r="S30" s="2"/>
      <c r="T30" s="2"/>
      <c r="U30" s="2">
        <v>14</v>
      </c>
      <c r="Y30" s="10">
        <v>5</v>
      </c>
      <c r="Z30" s="10" t="s">
        <v>46</v>
      </c>
      <c r="AA30" s="10" t="s">
        <v>25</v>
      </c>
      <c r="AB30" s="10"/>
      <c r="AC30" s="10" t="s">
        <v>47</v>
      </c>
      <c r="AD30" s="10" t="s">
        <v>27</v>
      </c>
      <c r="AE30" s="10"/>
      <c r="AF30" s="10"/>
      <c r="AG30" s="10">
        <v>4</v>
      </c>
    </row>
    <row r="31" spans="13:33" x14ac:dyDescent="0.25">
      <c r="M31" s="4">
        <v>2</v>
      </c>
      <c r="N31" s="4" t="s">
        <v>77</v>
      </c>
      <c r="O31" s="4" t="s">
        <v>78</v>
      </c>
      <c r="P31" s="4" t="s">
        <v>31</v>
      </c>
      <c r="Q31" s="4" t="s">
        <v>31</v>
      </c>
      <c r="R31" s="3"/>
      <c r="S31" s="3"/>
      <c r="T31" s="4" t="s">
        <v>19</v>
      </c>
      <c r="U31" s="4">
        <v>1</v>
      </c>
      <c r="Y31" s="10">
        <v>5</v>
      </c>
      <c r="Z31" s="10" t="s">
        <v>48</v>
      </c>
      <c r="AA31" s="10" t="s">
        <v>25</v>
      </c>
      <c r="AB31" s="10"/>
      <c r="AC31" s="10" t="s">
        <v>36</v>
      </c>
      <c r="AD31" s="10" t="s">
        <v>27</v>
      </c>
      <c r="AE31" s="10">
        <v>6.0409799999999996E-3</v>
      </c>
      <c r="AF31" s="10"/>
      <c r="AG31" s="10">
        <v>7</v>
      </c>
    </row>
    <row r="32" spans="13:33" x14ac:dyDescent="0.25">
      <c r="M32" s="2">
        <v>3</v>
      </c>
      <c r="N32" s="2" t="s">
        <v>79</v>
      </c>
      <c r="O32" s="2" t="s">
        <v>78</v>
      </c>
      <c r="P32" s="2" t="s">
        <v>33</v>
      </c>
      <c r="Q32" s="2" t="s">
        <v>22</v>
      </c>
      <c r="R32" s="2" t="s">
        <v>80</v>
      </c>
      <c r="S32" s="2">
        <v>0.39160899999999998</v>
      </c>
      <c r="T32" s="2" t="s">
        <v>19</v>
      </c>
      <c r="U32" s="2">
        <v>1</v>
      </c>
      <c r="Y32" s="10">
        <v>5</v>
      </c>
      <c r="Z32" s="10" t="s">
        <v>49</v>
      </c>
      <c r="AA32" s="10" t="s">
        <v>25</v>
      </c>
      <c r="AB32" s="10" t="s">
        <v>50</v>
      </c>
      <c r="AC32" s="10" t="s">
        <v>50</v>
      </c>
      <c r="AD32" s="10" t="s">
        <v>27</v>
      </c>
      <c r="AE32" s="10"/>
      <c r="AF32" s="10"/>
      <c r="AG32" s="10">
        <v>8</v>
      </c>
    </row>
    <row r="33" spans="13:33" x14ac:dyDescent="0.25">
      <c r="M33" s="2">
        <v>3</v>
      </c>
      <c r="N33" s="2" t="s">
        <v>81</v>
      </c>
      <c r="O33" s="2" t="s">
        <v>25</v>
      </c>
      <c r="P33" s="2"/>
      <c r="Q33" s="2" t="s">
        <v>82</v>
      </c>
      <c r="R33" s="2" t="s">
        <v>27</v>
      </c>
      <c r="S33" s="2"/>
      <c r="T33" s="2"/>
      <c r="U33" s="2">
        <v>2</v>
      </c>
      <c r="Y33" s="10">
        <v>5</v>
      </c>
      <c r="Z33" s="10" t="s">
        <v>51</v>
      </c>
      <c r="AA33" s="10" t="s">
        <v>25</v>
      </c>
      <c r="AB33" s="10" t="s">
        <v>52</v>
      </c>
      <c r="AC33" s="10" t="s">
        <v>52</v>
      </c>
      <c r="AD33" s="10" t="s">
        <v>27</v>
      </c>
      <c r="AE33" s="10"/>
      <c r="AF33" s="10"/>
      <c r="AG33" s="10">
        <v>22</v>
      </c>
    </row>
    <row r="34" spans="13:33" x14ac:dyDescent="0.25">
      <c r="M34" s="2">
        <v>3</v>
      </c>
      <c r="N34" s="2" t="s">
        <v>83</v>
      </c>
      <c r="O34" s="2" t="s">
        <v>25</v>
      </c>
      <c r="P34" s="2" t="s">
        <v>57</v>
      </c>
      <c r="Q34" s="2" t="s">
        <v>57</v>
      </c>
      <c r="R34" s="2" t="s">
        <v>27</v>
      </c>
      <c r="S34" s="2">
        <v>1.78746E-3</v>
      </c>
      <c r="T34" s="2"/>
      <c r="U34" s="2">
        <v>3</v>
      </c>
      <c r="Y34" s="9">
        <v>4</v>
      </c>
      <c r="Z34" s="9" t="s">
        <v>53</v>
      </c>
      <c r="AA34" s="9" t="s">
        <v>54</v>
      </c>
      <c r="AB34" s="9" t="s">
        <v>55</v>
      </c>
      <c r="AC34" s="9" t="s">
        <v>55</v>
      </c>
      <c r="AF34" s="9" t="s">
        <v>19</v>
      </c>
      <c r="AG34" s="9">
        <v>1</v>
      </c>
    </row>
    <row r="35" spans="13:33" x14ac:dyDescent="0.25">
      <c r="M35" s="2">
        <v>3</v>
      </c>
      <c r="N35" s="2" t="s">
        <v>84</v>
      </c>
      <c r="O35" s="2" t="s">
        <v>25</v>
      </c>
      <c r="P35" s="2" t="s">
        <v>50</v>
      </c>
      <c r="Q35" s="2" t="s">
        <v>50</v>
      </c>
      <c r="R35" s="2" t="s">
        <v>27</v>
      </c>
      <c r="S35" s="2"/>
      <c r="T35" s="2"/>
      <c r="U35" s="2">
        <v>16</v>
      </c>
      <c r="Y35" s="10">
        <v>5</v>
      </c>
      <c r="Z35" s="10" t="s">
        <v>56</v>
      </c>
      <c r="AA35" s="10" t="s">
        <v>25</v>
      </c>
      <c r="AB35" s="10" t="s">
        <v>57</v>
      </c>
      <c r="AC35" s="10" t="s">
        <v>57</v>
      </c>
      <c r="AD35" s="10" t="s">
        <v>27</v>
      </c>
      <c r="AE35" s="10"/>
      <c r="AF35" s="10"/>
      <c r="AG35" s="10">
        <v>1</v>
      </c>
    </row>
    <row r="36" spans="13:33" x14ac:dyDescent="0.25">
      <c r="M36" s="4">
        <v>2</v>
      </c>
      <c r="N36" s="4" t="s">
        <v>85</v>
      </c>
      <c r="O36" s="4" t="s">
        <v>86</v>
      </c>
      <c r="P36" s="4" t="s">
        <v>87</v>
      </c>
      <c r="Q36" s="4" t="s">
        <v>31</v>
      </c>
      <c r="R36" s="3"/>
      <c r="S36" s="3"/>
      <c r="T36" s="4" t="s">
        <v>19</v>
      </c>
      <c r="U36" s="4">
        <v>1</v>
      </c>
      <c r="Y36" s="10">
        <v>5</v>
      </c>
      <c r="Z36" s="10" t="s">
        <v>58</v>
      </c>
      <c r="AA36" s="10" t="s">
        <v>54</v>
      </c>
      <c r="AB36" s="10" t="s">
        <v>59</v>
      </c>
      <c r="AC36" s="10" t="s">
        <v>22</v>
      </c>
      <c r="AD36" s="10" t="s">
        <v>60</v>
      </c>
      <c r="AE36" s="10">
        <v>0.11829099999999999</v>
      </c>
      <c r="AF36" s="10" t="s">
        <v>19</v>
      </c>
      <c r="AG36" s="10">
        <v>1</v>
      </c>
    </row>
    <row r="37" spans="13:33" x14ac:dyDescent="0.25">
      <c r="M37" s="2">
        <v>3</v>
      </c>
      <c r="N37" s="2" t="s">
        <v>88</v>
      </c>
      <c r="O37" s="2" t="s">
        <v>86</v>
      </c>
      <c r="P37" s="2" t="s">
        <v>89</v>
      </c>
      <c r="Q37" s="2" t="s">
        <v>22</v>
      </c>
      <c r="R37" s="2" t="s">
        <v>45</v>
      </c>
      <c r="S37" s="2">
        <v>5.4466500000000001E-2</v>
      </c>
      <c r="T37" s="2" t="s">
        <v>19</v>
      </c>
      <c r="U37" s="2">
        <v>1</v>
      </c>
      <c r="Y37" s="10">
        <v>5</v>
      </c>
      <c r="Z37" s="10" t="s">
        <v>61</v>
      </c>
      <c r="AA37" s="10" t="s">
        <v>25</v>
      </c>
      <c r="AB37" s="10"/>
      <c r="AC37" s="10" t="s">
        <v>62</v>
      </c>
      <c r="AD37" s="10" t="s">
        <v>27</v>
      </c>
      <c r="AE37" s="10"/>
      <c r="AF37" s="10"/>
      <c r="AG37" s="10">
        <v>2</v>
      </c>
    </row>
    <row r="38" spans="13:33" x14ac:dyDescent="0.25">
      <c r="M38" s="2">
        <v>3</v>
      </c>
      <c r="N38" s="2" t="s">
        <v>56</v>
      </c>
      <c r="O38" s="2" t="s">
        <v>25</v>
      </c>
      <c r="P38" s="2" t="s">
        <v>57</v>
      </c>
      <c r="Q38" s="2" t="s">
        <v>57</v>
      </c>
      <c r="R38" s="2" t="s">
        <v>27</v>
      </c>
      <c r="S38" s="2"/>
      <c r="T38" s="2"/>
      <c r="U38" s="2">
        <v>2</v>
      </c>
      <c r="Y38" s="10">
        <v>5</v>
      </c>
      <c r="Z38" s="10" t="s">
        <v>49</v>
      </c>
      <c r="AA38" s="10" t="s">
        <v>25</v>
      </c>
      <c r="AB38" s="10" t="s">
        <v>50</v>
      </c>
      <c r="AC38" s="10" t="s">
        <v>50</v>
      </c>
      <c r="AD38" s="10" t="s">
        <v>27</v>
      </c>
      <c r="AE38" s="10"/>
      <c r="AF38" s="10"/>
      <c r="AG38" s="10">
        <v>3</v>
      </c>
    </row>
    <row r="39" spans="13:33" x14ac:dyDescent="0.25">
      <c r="M39" s="2">
        <v>3</v>
      </c>
      <c r="N39" s="2" t="s">
        <v>90</v>
      </c>
      <c r="O39" s="2" t="s">
        <v>25</v>
      </c>
      <c r="P39" s="2"/>
      <c r="Q39" s="2" t="s">
        <v>91</v>
      </c>
      <c r="R39" s="2" t="s">
        <v>27</v>
      </c>
      <c r="S39" s="2"/>
      <c r="T39" s="2"/>
      <c r="U39" s="2">
        <v>3</v>
      </c>
      <c r="Y39" s="9">
        <v>4</v>
      </c>
      <c r="Z39" s="9" t="s">
        <v>63</v>
      </c>
      <c r="AA39" s="9" t="s">
        <v>40</v>
      </c>
      <c r="AB39" s="9" t="s">
        <v>64</v>
      </c>
      <c r="AC39" s="9" t="s">
        <v>42</v>
      </c>
      <c r="AF39" s="9" t="s">
        <v>19</v>
      </c>
      <c r="AG39" s="9">
        <v>1</v>
      </c>
    </row>
    <row r="40" spans="13:33" ht="30" x14ac:dyDescent="0.25">
      <c r="M40" s="2">
        <v>3</v>
      </c>
      <c r="N40" s="2" t="s">
        <v>49</v>
      </c>
      <c r="O40" s="2" t="s">
        <v>25</v>
      </c>
      <c r="P40" s="2" t="s">
        <v>50</v>
      </c>
      <c r="Q40" s="2" t="s">
        <v>50</v>
      </c>
      <c r="R40" s="2" t="s">
        <v>27</v>
      </c>
      <c r="S40" s="2"/>
      <c r="T40" s="2"/>
      <c r="U40" s="2">
        <v>8</v>
      </c>
      <c r="Y40" s="10">
        <v>5</v>
      </c>
      <c r="Z40" s="10" t="s">
        <v>65</v>
      </c>
      <c r="AA40" s="10" t="s">
        <v>40</v>
      </c>
      <c r="AB40" s="12" t="s">
        <v>66</v>
      </c>
      <c r="AC40" s="10" t="s">
        <v>22</v>
      </c>
      <c r="AD40" s="10" t="s">
        <v>45</v>
      </c>
      <c r="AE40" s="10">
        <v>0.11043500000000001</v>
      </c>
      <c r="AF40" s="10" t="s">
        <v>19</v>
      </c>
      <c r="AG40" s="10">
        <v>1</v>
      </c>
    </row>
    <row r="41" spans="13:33" x14ac:dyDescent="0.25">
      <c r="M41" s="4">
        <v>2</v>
      </c>
      <c r="N41" s="4" t="s">
        <v>92</v>
      </c>
      <c r="O41" s="4" t="s">
        <v>35</v>
      </c>
      <c r="P41" s="4" t="s">
        <v>93</v>
      </c>
      <c r="Q41" s="4" t="s">
        <v>94</v>
      </c>
      <c r="R41" s="3"/>
      <c r="S41" s="3"/>
      <c r="T41" s="4" t="s">
        <v>19</v>
      </c>
      <c r="U41" s="4">
        <v>1</v>
      </c>
      <c r="Y41" s="10">
        <v>5</v>
      </c>
      <c r="Z41" s="10" t="s">
        <v>56</v>
      </c>
      <c r="AA41" s="10" t="s">
        <v>25</v>
      </c>
      <c r="AB41" s="10" t="s">
        <v>57</v>
      </c>
      <c r="AC41" s="10" t="s">
        <v>57</v>
      </c>
      <c r="AD41" s="10" t="s">
        <v>27</v>
      </c>
      <c r="AE41" s="10"/>
      <c r="AF41" s="10"/>
      <c r="AG41" s="10">
        <v>11</v>
      </c>
    </row>
    <row r="42" spans="13:33" x14ac:dyDescent="0.25">
      <c r="M42" s="2">
        <v>3</v>
      </c>
      <c r="N42" s="2" t="s">
        <v>95</v>
      </c>
      <c r="O42" s="2" t="s">
        <v>35</v>
      </c>
      <c r="P42" s="2" t="s">
        <v>96</v>
      </c>
      <c r="Q42" s="2" t="s">
        <v>97</v>
      </c>
      <c r="R42" s="2" t="s">
        <v>45</v>
      </c>
      <c r="S42" s="2">
        <v>2.7370599999999998E-2</v>
      </c>
      <c r="T42" s="2" t="s">
        <v>19</v>
      </c>
      <c r="U42" s="2">
        <v>1</v>
      </c>
      <c r="Y42" s="10">
        <v>5</v>
      </c>
      <c r="Z42" s="10" t="s">
        <v>67</v>
      </c>
      <c r="AA42" s="10" t="s">
        <v>25</v>
      </c>
      <c r="AB42" s="10" t="s">
        <v>68</v>
      </c>
      <c r="AC42" s="10" t="s">
        <v>68</v>
      </c>
      <c r="AD42" s="10" t="s">
        <v>27</v>
      </c>
      <c r="AE42" s="10"/>
      <c r="AF42" s="10"/>
      <c r="AG42" s="10">
        <v>15</v>
      </c>
    </row>
    <row r="43" spans="13:33" x14ac:dyDescent="0.25">
      <c r="M43" s="2">
        <v>3</v>
      </c>
      <c r="N43" s="2" t="s">
        <v>49</v>
      </c>
      <c r="O43" s="2" t="s">
        <v>25</v>
      </c>
      <c r="P43" s="2" t="s">
        <v>50</v>
      </c>
      <c r="Q43" s="2" t="s">
        <v>50</v>
      </c>
      <c r="R43" s="2" t="s">
        <v>27</v>
      </c>
      <c r="S43" s="2"/>
      <c r="T43" s="2"/>
      <c r="U43" s="2">
        <v>6</v>
      </c>
      <c r="Y43" s="10">
        <v>5</v>
      </c>
      <c r="Z43" s="10" t="s">
        <v>49</v>
      </c>
      <c r="AA43" s="10" t="s">
        <v>25</v>
      </c>
      <c r="AB43" s="10" t="s">
        <v>50</v>
      </c>
      <c r="AC43" s="10" t="s">
        <v>50</v>
      </c>
      <c r="AD43" s="10" t="s">
        <v>27</v>
      </c>
      <c r="AE43" s="10"/>
      <c r="AF43" s="10"/>
      <c r="AG43" s="10">
        <v>24</v>
      </c>
    </row>
    <row r="44" spans="13:33" x14ac:dyDescent="0.25">
      <c r="M44" s="4">
        <v>2</v>
      </c>
      <c r="N44" s="4" t="s">
        <v>98</v>
      </c>
      <c r="O44" s="4" t="s">
        <v>86</v>
      </c>
      <c r="P44" s="4" t="s">
        <v>99</v>
      </c>
      <c r="Q44" s="4" t="s">
        <v>100</v>
      </c>
      <c r="R44" s="4" t="s">
        <v>101</v>
      </c>
      <c r="S44" s="4">
        <v>0.13908100000000001</v>
      </c>
      <c r="T44" s="4" t="s">
        <v>102</v>
      </c>
      <c r="U44" s="4">
        <v>1</v>
      </c>
      <c r="Y44" s="9">
        <v>4</v>
      </c>
      <c r="Z44" s="9" t="s">
        <v>69</v>
      </c>
      <c r="AA44" s="9" t="s">
        <v>70</v>
      </c>
      <c r="AB44" s="9" t="s">
        <v>71</v>
      </c>
      <c r="AC44" s="9" t="s">
        <v>72</v>
      </c>
      <c r="AF44" s="9" t="s">
        <v>19</v>
      </c>
      <c r="AG44" s="9">
        <v>1</v>
      </c>
    </row>
    <row r="45" spans="13:33" x14ac:dyDescent="0.25">
      <c r="M45" s="4">
        <v>2</v>
      </c>
      <c r="N45" s="4" t="s">
        <v>103</v>
      </c>
      <c r="O45" s="4" t="s">
        <v>86</v>
      </c>
      <c r="P45" s="4" t="s">
        <v>99</v>
      </c>
      <c r="Q45" s="4" t="s">
        <v>104</v>
      </c>
      <c r="R45" s="4" t="s">
        <v>101</v>
      </c>
      <c r="S45" s="4">
        <v>0.23142599999999999</v>
      </c>
      <c r="T45" s="4" t="s">
        <v>102</v>
      </c>
      <c r="U45" s="4">
        <v>1</v>
      </c>
      <c r="Y45" s="10">
        <v>5</v>
      </c>
      <c r="Z45" s="10" t="s">
        <v>73</v>
      </c>
      <c r="AA45" s="10" t="s">
        <v>70</v>
      </c>
      <c r="AB45" s="10" t="s">
        <v>74</v>
      </c>
      <c r="AC45" s="10" t="s">
        <v>22</v>
      </c>
      <c r="AD45" s="10" t="s">
        <v>45</v>
      </c>
      <c r="AE45" s="10">
        <v>0.142319</v>
      </c>
      <c r="AF45" s="10" t="s">
        <v>19</v>
      </c>
      <c r="AG45" s="10">
        <v>1</v>
      </c>
    </row>
    <row r="46" spans="13:33" x14ac:dyDescent="0.25">
      <c r="M46" s="4">
        <v>2</v>
      </c>
      <c r="N46" s="4" t="s">
        <v>105</v>
      </c>
      <c r="O46" s="4" t="s">
        <v>106</v>
      </c>
      <c r="P46" s="4" t="s">
        <v>107</v>
      </c>
      <c r="Q46" s="4" t="s">
        <v>108</v>
      </c>
      <c r="R46" s="3"/>
      <c r="S46" s="3"/>
      <c r="T46" s="4" t="s">
        <v>19</v>
      </c>
      <c r="U46" s="4">
        <v>1</v>
      </c>
      <c r="Y46" s="10">
        <v>5</v>
      </c>
      <c r="Z46" s="10" t="s">
        <v>56</v>
      </c>
      <c r="AA46" s="10" t="s">
        <v>25</v>
      </c>
      <c r="AB46" s="10" t="s">
        <v>57</v>
      </c>
      <c r="AC46" s="10" t="s">
        <v>57</v>
      </c>
      <c r="AD46" s="10" t="s">
        <v>27</v>
      </c>
      <c r="AE46" s="10"/>
      <c r="AF46" s="10"/>
      <c r="AG46" s="10">
        <v>5</v>
      </c>
    </row>
    <row r="47" spans="13:33" x14ac:dyDescent="0.25">
      <c r="M47" s="2">
        <v>3</v>
      </c>
      <c r="N47" s="2" t="s">
        <v>109</v>
      </c>
      <c r="O47" s="2" t="s">
        <v>106</v>
      </c>
      <c r="P47" s="2" t="s">
        <v>110</v>
      </c>
      <c r="Q47" s="2" t="s">
        <v>111</v>
      </c>
      <c r="R47" s="2" t="s">
        <v>101</v>
      </c>
      <c r="S47" s="2">
        <v>3.5351199999999999E-2</v>
      </c>
      <c r="T47" s="2" t="s">
        <v>19</v>
      </c>
      <c r="U47" s="2">
        <v>1</v>
      </c>
      <c r="Y47" s="10">
        <v>5</v>
      </c>
      <c r="Z47" s="10" t="s">
        <v>75</v>
      </c>
      <c r="AA47" s="10" t="s">
        <v>25</v>
      </c>
      <c r="AB47" s="10" t="s">
        <v>76</v>
      </c>
      <c r="AC47" s="10" t="s">
        <v>76</v>
      </c>
      <c r="AD47" s="10" t="s">
        <v>27</v>
      </c>
      <c r="AE47" s="10"/>
      <c r="AF47" s="10"/>
      <c r="AG47" s="10">
        <v>6</v>
      </c>
    </row>
    <row r="48" spans="13:33" x14ac:dyDescent="0.25">
      <c r="M48" s="2">
        <v>3</v>
      </c>
      <c r="N48" s="2" t="s">
        <v>112</v>
      </c>
      <c r="O48" s="2" t="s">
        <v>106</v>
      </c>
      <c r="P48" s="2" t="s">
        <v>113</v>
      </c>
      <c r="Q48" s="2" t="s">
        <v>22</v>
      </c>
      <c r="R48" s="2" t="s">
        <v>114</v>
      </c>
      <c r="S48" s="2">
        <v>1.4843900000000001</v>
      </c>
      <c r="T48" s="2" t="s">
        <v>19</v>
      </c>
      <c r="U48" s="2">
        <v>1</v>
      </c>
      <c r="Y48" s="10">
        <v>5</v>
      </c>
      <c r="Z48" s="10" t="s">
        <v>49</v>
      </c>
      <c r="AA48" s="10" t="s">
        <v>25</v>
      </c>
      <c r="AB48" s="10" t="s">
        <v>50</v>
      </c>
      <c r="AC48" s="10" t="s">
        <v>50</v>
      </c>
      <c r="AD48" s="10" t="s">
        <v>27</v>
      </c>
      <c r="AE48" s="10"/>
      <c r="AF48" s="10"/>
      <c r="AG48" s="10">
        <v>14</v>
      </c>
    </row>
    <row r="49" spans="13:33" x14ac:dyDescent="0.25">
      <c r="M49" s="2">
        <v>3</v>
      </c>
      <c r="N49" s="2" t="s">
        <v>115</v>
      </c>
      <c r="O49" s="2" t="s">
        <v>25</v>
      </c>
      <c r="P49" s="2"/>
      <c r="Q49" s="2" t="s">
        <v>36</v>
      </c>
      <c r="R49" s="2" t="s">
        <v>27</v>
      </c>
      <c r="S49" s="2"/>
      <c r="T49" s="2"/>
      <c r="U49" s="2">
        <v>2</v>
      </c>
      <c r="Y49" s="9">
        <v>4</v>
      </c>
      <c r="Z49" s="9" t="s">
        <v>77</v>
      </c>
      <c r="AA49" s="9" t="s">
        <v>78</v>
      </c>
      <c r="AB49" s="9" t="s">
        <v>31</v>
      </c>
      <c r="AC49" s="9" t="s">
        <v>31</v>
      </c>
      <c r="AF49" s="9" t="s">
        <v>19</v>
      </c>
      <c r="AG49" s="9">
        <v>1</v>
      </c>
    </row>
    <row r="50" spans="13:33" x14ac:dyDescent="0.25">
      <c r="M50" s="2">
        <v>3</v>
      </c>
      <c r="N50" s="2" t="s">
        <v>116</v>
      </c>
      <c r="O50" s="2" t="s">
        <v>25</v>
      </c>
      <c r="P50" s="2"/>
      <c r="Q50" s="2" t="s">
        <v>117</v>
      </c>
      <c r="R50" s="2" t="s">
        <v>27</v>
      </c>
      <c r="S50" s="2"/>
      <c r="T50" s="2"/>
      <c r="U50" s="2">
        <v>3</v>
      </c>
      <c r="Y50" s="10">
        <v>5</v>
      </c>
      <c r="Z50" s="10" t="s">
        <v>79</v>
      </c>
      <c r="AA50" s="10" t="s">
        <v>78</v>
      </c>
      <c r="AB50" s="10" t="s">
        <v>33</v>
      </c>
      <c r="AC50" s="10" t="s">
        <v>22</v>
      </c>
      <c r="AD50" s="10" t="s">
        <v>80</v>
      </c>
      <c r="AE50" s="10">
        <v>0.39160899999999998</v>
      </c>
      <c r="AF50" s="10" t="s">
        <v>19</v>
      </c>
      <c r="AG50" s="10">
        <v>1</v>
      </c>
    </row>
    <row r="51" spans="13:33" x14ac:dyDescent="0.25">
      <c r="M51" s="2">
        <v>3</v>
      </c>
      <c r="N51" s="2" t="s">
        <v>118</v>
      </c>
      <c r="O51" s="2" t="s">
        <v>25</v>
      </c>
      <c r="P51" s="2" t="s">
        <v>76</v>
      </c>
      <c r="Q51" s="2" t="s">
        <v>76</v>
      </c>
      <c r="R51" s="2" t="s">
        <v>27</v>
      </c>
      <c r="S51" s="2"/>
      <c r="T51" s="2"/>
      <c r="U51" s="2">
        <v>4</v>
      </c>
      <c r="Y51" s="10">
        <v>5</v>
      </c>
      <c r="Z51" s="10" t="s">
        <v>81</v>
      </c>
      <c r="AA51" s="10" t="s">
        <v>25</v>
      </c>
      <c r="AB51" s="10"/>
      <c r="AC51" s="10" t="s">
        <v>82</v>
      </c>
      <c r="AD51" s="10" t="s">
        <v>27</v>
      </c>
      <c r="AE51" s="10"/>
      <c r="AF51" s="10"/>
      <c r="AG51" s="10">
        <v>2</v>
      </c>
    </row>
    <row r="52" spans="13:33" x14ac:dyDescent="0.25">
      <c r="M52" s="2">
        <v>3</v>
      </c>
      <c r="N52" s="2" t="s">
        <v>119</v>
      </c>
      <c r="O52" s="2" t="s">
        <v>25</v>
      </c>
      <c r="P52" s="2" t="s">
        <v>50</v>
      </c>
      <c r="Q52" s="2" t="s">
        <v>50</v>
      </c>
      <c r="R52" s="2" t="s">
        <v>27</v>
      </c>
      <c r="S52" s="2"/>
      <c r="T52" s="2"/>
      <c r="U52" s="2">
        <v>17</v>
      </c>
      <c r="Y52" s="10">
        <v>5</v>
      </c>
      <c r="Z52" s="10" t="s">
        <v>83</v>
      </c>
      <c r="AA52" s="10" t="s">
        <v>25</v>
      </c>
      <c r="AB52" s="10" t="s">
        <v>57</v>
      </c>
      <c r="AC52" s="10" t="s">
        <v>57</v>
      </c>
      <c r="AD52" s="10" t="s">
        <v>27</v>
      </c>
      <c r="AE52" s="10">
        <v>1.78746E-3</v>
      </c>
      <c r="AF52" s="10"/>
      <c r="AG52" s="10">
        <v>3</v>
      </c>
    </row>
    <row r="53" spans="13:33" x14ac:dyDescent="0.25">
      <c r="M53" s="4">
        <v>2</v>
      </c>
      <c r="N53" s="4" t="s">
        <v>120</v>
      </c>
      <c r="O53" s="4" t="s">
        <v>54</v>
      </c>
      <c r="P53" s="4" t="s">
        <v>121</v>
      </c>
      <c r="Q53" s="4" t="s">
        <v>42</v>
      </c>
      <c r="R53" s="3"/>
      <c r="S53" s="3"/>
      <c r="T53" s="4" t="s">
        <v>19</v>
      </c>
      <c r="U53" s="4">
        <v>1</v>
      </c>
      <c r="Y53" s="10">
        <v>5</v>
      </c>
      <c r="Z53" s="10" t="s">
        <v>84</v>
      </c>
      <c r="AA53" s="10" t="s">
        <v>25</v>
      </c>
      <c r="AB53" s="10" t="s">
        <v>50</v>
      </c>
      <c r="AC53" s="10" t="s">
        <v>50</v>
      </c>
      <c r="AD53" s="10" t="s">
        <v>27</v>
      </c>
      <c r="AE53" s="10"/>
      <c r="AF53" s="10"/>
      <c r="AG53" s="10">
        <v>16</v>
      </c>
    </row>
    <row r="54" spans="13:33" x14ac:dyDescent="0.25">
      <c r="M54" s="2">
        <v>3</v>
      </c>
      <c r="N54" s="2" t="s">
        <v>122</v>
      </c>
      <c r="O54" s="2" t="s">
        <v>54</v>
      </c>
      <c r="P54" s="2" t="s">
        <v>123</v>
      </c>
      <c r="Q54" s="2" t="s">
        <v>22</v>
      </c>
      <c r="R54" s="2" t="s">
        <v>124</v>
      </c>
      <c r="S54" s="2">
        <v>0.49105100000000002</v>
      </c>
      <c r="T54" s="2" t="s">
        <v>19</v>
      </c>
      <c r="U54" s="2">
        <v>1</v>
      </c>
      <c r="Y54" s="9">
        <v>4</v>
      </c>
      <c r="Z54" s="9" t="s">
        <v>85</v>
      </c>
      <c r="AA54" s="9" t="s">
        <v>86</v>
      </c>
      <c r="AB54" s="9" t="s">
        <v>87</v>
      </c>
      <c r="AC54" s="9" t="s">
        <v>31</v>
      </c>
      <c r="AF54" s="9" t="s">
        <v>19</v>
      </c>
      <c r="AG54" s="9">
        <v>1</v>
      </c>
    </row>
    <row r="55" spans="13:33" x14ac:dyDescent="0.25">
      <c r="M55" s="2">
        <v>3</v>
      </c>
      <c r="N55" s="2" t="s">
        <v>125</v>
      </c>
      <c r="O55" s="2" t="s">
        <v>25</v>
      </c>
      <c r="P55" s="2" t="s">
        <v>126</v>
      </c>
      <c r="Q55" s="2" t="s">
        <v>126</v>
      </c>
      <c r="R55" s="2" t="s">
        <v>27</v>
      </c>
      <c r="S55" s="2">
        <v>2.2757300000000001E-3</v>
      </c>
      <c r="T55" s="2"/>
      <c r="U55" s="2">
        <v>3</v>
      </c>
      <c r="Y55" s="10">
        <v>5</v>
      </c>
      <c r="Z55" s="10" t="s">
        <v>88</v>
      </c>
      <c r="AA55" s="10" t="s">
        <v>86</v>
      </c>
      <c r="AB55" s="10" t="s">
        <v>89</v>
      </c>
      <c r="AC55" s="10" t="s">
        <v>22</v>
      </c>
      <c r="AD55" s="10" t="s">
        <v>45</v>
      </c>
      <c r="AE55" s="10">
        <v>5.4466500000000001E-2</v>
      </c>
      <c r="AF55" s="10" t="s">
        <v>19</v>
      </c>
      <c r="AG55" s="10">
        <v>1</v>
      </c>
    </row>
    <row r="56" spans="13:33" ht="30" x14ac:dyDescent="0.25">
      <c r="M56" s="2">
        <v>3</v>
      </c>
      <c r="N56" s="2" t="s">
        <v>127</v>
      </c>
      <c r="O56" s="2" t="s">
        <v>25</v>
      </c>
      <c r="P56" s="5" t="s">
        <v>128</v>
      </c>
      <c r="Q56" s="2" t="s">
        <v>129</v>
      </c>
      <c r="R56" s="2" t="s">
        <v>27</v>
      </c>
      <c r="S56" s="2">
        <v>8.62366E-3</v>
      </c>
      <c r="T56" s="2"/>
      <c r="U56" s="2">
        <v>4</v>
      </c>
      <c r="Y56" s="10">
        <v>5</v>
      </c>
      <c r="Z56" s="10" t="s">
        <v>56</v>
      </c>
      <c r="AA56" s="10" t="s">
        <v>25</v>
      </c>
      <c r="AB56" s="10" t="s">
        <v>57</v>
      </c>
      <c r="AC56" s="10" t="s">
        <v>57</v>
      </c>
      <c r="AD56" s="10" t="s">
        <v>27</v>
      </c>
      <c r="AE56" s="10"/>
      <c r="AF56" s="10"/>
      <c r="AG56" s="10">
        <v>2</v>
      </c>
    </row>
    <row r="57" spans="13:33" ht="30" x14ac:dyDescent="0.25">
      <c r="M57" s="4">
        <v>2</v>
      </c>
      <c r="N57" s="4" t="s">
        <v>130</v>
      </c>
      <c r="O57" s="4" t="s">
        <v>131</v>
      </c>
      <c r="P57" s="6" t="s">
        <v>132</v>
      </c>
      <c r="Q57" s="4" t="s">
        <v>133</v>
      </c>
      <c r="R57" s="3"/>
      <c r="S57" s="3"/>
      <c r="T57" s="4" t="s">
        <v>19</v>
      </c>
      <c r="U57" s="4">
        <v>1</v>
      </c>
      <c r="Y57" s="10">
        <v>5</v>
      </c>
      <c r="Z57" s="10" t="s">
        <v>90</v>
      </c>
      <c r="AA57" s="10" t="s">
        <v>25</v>
      </c>
      <c r="AB57" s="10"/>
      <c r="AC57" s="10" t="s">
        <v>91</v>
      </c>
      <c r="AD57" s="10" t="s">
        <v>27</v>
      </c>
      <c r="AE57" s="10"/>
      <c r="AF57" s="10"/>
      <c r="AG57" s="10">
        <v>3</v>
      </c>
    </row>
    <row r="58" spans="13:33" x14ac:dyDescent="0.25">
      <c r="M58" s="2">
        <v>3</v>
      </c>
      <c r="N58" s="2" t="s">
        <v>134</v>
      </c>
      <c r="O58" s="2" t="s">
        <v>131</v>
      </c>
      <c r="P58" s="2" t="s">
        <v>135</v>
      </c>
      <c r="Q58" s="2" t="s">
        <v>22</v>
      </c>
      <c r="R58" s="2" t="s">
        <v>23</v>
      </c>
      <c r="S58" s="2">
        <v>0.15198200000000001</v>
      </c>
      <c r="T58" s="2" t="s">
        <v>19</v>
      </c>
      <c r="U58" s="2">
        <v>1</v>
      </c>
      <c r="Y58" s="10">
        <v>5</v>
      </c>
      <c r="Z58" s="10" t="s">
        <v>49</v>
      </c>
      <c r="AA58" s="10" t="s">
        <v>25</v>
      </c>
      <c r="AB58" s="10" t="s">
        <v>50</v>
      </c>
      <c r="AC58" s="10" t="s">
        <v>50</v>
      </c>
      <c r="AD58" s="10" t="s">
        <v>27</v>
      </c>
      <c r="AE58" s="10"/>
      <c r="AF58" s="10"/>
      <c r="AG58" s="10">
        <v>8</v>
      </c>
    </row>
    <row r="59" spans="13:33" x14ac:dyDescent="0.25">
      <c r="M59" s="2">
        <v>3</v>
      </c>
      <c r="N59" s="2" t="s">
        <v>24</v>
      </c>
      <c r="O59" s="2" t="s">
        <v>25</v>
      </c>
      <c r="P59" s="2"/>
      <c r="Q59" s="2" t="s">
        <v>26</v>
      </c>
      <c r="R59" s="2" t="s">
        <v>27</v>
      </c>
      <c r="S59" s="2"/>
      <c r="T59" s="2"/>
      <c r="U59" s="2">
        <v>4</v>
      </c>
      <c r="Y59" s="9">
        <v>4</v>
      </c>
      <c r="Z59" s="9" t="s">
        <v>92</v>
      </c>
      <c r="AA59" s="9" t="s">
        <v>35</v>
      </c>
      <c r="AB59" s="9" t="s">
        <v>93</v>
      </c>
      <c r="AC59" s="9" t="s">
        <v>94</v>
      </c>
      <c r="AF59" s="9" t="s">
        <v>19</v>
      </c>
      <c r="AG59" s="9">
        <v>1</v>
      </c>
    </row>
    <row r="60" spans="13:33" ht="30" x14ac:dyDescent="0.25">
      <c r="M60" s="4">
        <v>2</v>
      </c>
      <c r="N60" s="4" t="s">
        <v>136</v>
      </c>
      <c r="O60" s="4" t="s">
        <v>131</v>
      </c>
      <c r="P60" s="6" t="s">
        <v>132</v>
      </c>
      <c r="Q60" s="4" t="s">
        <v>133</v>
      </c>
      <c r="R60" s="3"/>
      <c r="S60" s="3"/>
      <c r="T60" s="4" t="s">
        <v>19</v>
      </c>
      <c r="U60" s="4">
        <v>1</v>
      </c>
      <c r="Y60" s="10">
        <v>5</v>
      </c>
      <c r="Z60" s="10" t="s">
        <v>95</v>
      </c>
      <c r="AA60" s="10" t="s">
        <v>35</v>
      </c>
      <c r="AB60" s="10" t="s">
        <v>96</v>
      </c>
      <c r="AC60" s="10" t="s">
        <v>97</v>
      </c>
      <c r="AD60" s="10" t="s">
        <v>45</v>
      </c>
      <c r="AE60" s="10">
        <v>2.7370599999999998E-2</v>
      </c>
      <c r="AF60" s="10" t="s">
        <v>19</v>
      </c>
      <c r="AG60" s="10">
        <v>1</v>
      </c>
    </row>
    <row r="61" spans="13:33" x14ac:dyDescent="0.25">
      <c r="M61" s="2">
        <v>3</v>
      </c>
      <c r="N61" s="2" t="s">
        <v>137</v>
      </c>
      <c r="O61" s="2" t="s">
        <v>25</v>
      </c>
      <c r="P61" s="2" t="s">
        <v>50</v>
      </c>
      <c r="Q61" s="2" t="s">
        <v>50</v>
      </c>
      <c r="R61" s="2" t="s">
        <v>27</v>
      </c>
      <c r="S61" s="2">
        <v>1.76592E-3</v>
      </c>
      <c r="T61" s="2"/>
      <c r="U61" s="2">
        <v>1</v>
      </c>
      <c r="Y61" s="10">
        <v>5</v>
      </c>
      <c r="Z61" s="10" t="s">
        <v>49</v>
      </c>
      <c r="AA61" s="10" t="s">
        <v>25</v>
      </c>
      <c r="AB61" s="10" t="s">
        <v>50</v>
      </c>
      <c r="AC61" s="10" t="s">
        <v>50</v>
      </c>
      <c r="AD61" s="10" t="s">
        <v>27</v>
      </c>
      <c r="AE61" s="10"/>
      <c r="AF61" s="10"/>
      <c r="AG61" s="10">
        <v>6</v>
      </c>
    </row>
    <row r="62" spans="13:33" x14ac:dyDescent="0.25">
      <c r="M62" s="2">
        <v>3</v>
      </c>
      <c r="N62" s="2" t="s">
        <v>138</v>
      </c>
      <c r="O62" s="2" t="s">
        <v>131</v>
      </c>
      <c r="P62" s="2" t="s">
        <v>135</v>
      </c>
      <c r="Q62" s="2" t="s">
        <v>22</v>
      </c>
      <c r="R62" s="2" t="s">
        <v>23</v>
      </c>
      <c r="S62" s="2">
        <v>0.20883499999999999</v>
      </c>
      <c r="T62" s="2" t="s">
        <v>19</v>
      </c>
      <c r="U62" s="2">
        <v>1</v>
      </c>
      <c r="Y62" s="9">
        <v>4</v>
      </c>
      <c r="Z62" s="9" t="s">
        <v>98</v>
      </c>
      <c r="AA62" s="9" t="s">
        <v>86</v>
      </c>
      <c r="AB62" s="9" t="s">
        <v>99</v>
      </c>
      <c r="AC62" s="9" t="s">
        <v>100</v>
      </c>
      <c r="AD62" s="9" t="s">
        <v>101</v>
      </c>
      <c r="AE62" s="9">
        <v>0.13908100000000001</v>
      </c>
      <c r="AF62" s="9" t="s">
        <v>102</v>
      </c>
      <c r="AG62" s="9">
        <v>1</v>
      </c>
    </row>
    <row r="63" spans="13:33" x14ac:dyDescent="0.25">
      <c r="M63" s="2">
        <v>3</v>
      </c>
      <c r="N63" s="2" t="s">
        <v>24</v>
      </c>
      <c r="O63" s="2" t="s">
        <v>25</v>
      </c>
      <c r="P63" s="2"/>
      <c r="Q63" s="2" t="s">
        <v>26</v>
      </c>
      <c r="R63" s="2" t="s">
        <v>27</v>
      </c>
      <c r="S63" s="2"/>
      <c r="T63" s="2"/>
      <c r="U63" s="2">
        <v>4</v>
      </c>
      <c r="Y63" s="9">
        <v>4</v>
      </c>
      <c r="Z63" s="9" t="s">
        <v>103</v>
      </c>
      <c r="AA63" s="9" t="s">
        <v>86</v>
      </c>
      <c r="AB63" s="9" t="s">
        <v>99</v>
      </c>
      <c r="AC63" s="9" t="s">
        <v>104</v>
      </c>
      <c r="AD63" s="9" t="s">
        <v>101</v>
      </c>
      <c r="AE63" s="9">
        <v>0.23142599999999999</v>
      </c>
      <c r="AF63" s="9" t="s">
        <v>102</v>
      </c>
      <c r="AG63" s="9">
        <v>1</v>
      </c>
    </row>
    <row r="64" spans="13:33" x14ac:dyDescent="0.25">
      <c r="M64" s="4">
        <v>2</v>
      </c>
      <c r="N64" s="4" t="s">
        <v>139</v>
      </c>
      <c r="O64" s="4" t="s">
        <v>40</v>
      </c>
      <c r="P64" s="4" t="s">
        <v>140</v>
      </c>
      <c r="Q64" s="4" t="s">
        <v>141</v>
      </c>
      <c r="R64" s="4" t="s">
        <v>23</v>
      </c>
      <c r="S64" s="4">
        <v>1.49404E-2</v>
      </c>
      <c r="T64" s="4" t="s">
        <v>19</v>
      </c>
      <c r="U64" s="4">
        <v>1</v>
      </c>
      <c r="Y64" s="9">
        <v>4</v>
      </c>
      <c r="Z64" s="9" t="s">
        <v>105</v>
      </c>
      <c r="AA64" s="9" t="s">
        <v>106</v>
      </c>
      <c r="AB64" s="9" t="s">
        <v>107</v>
      </c>
      <c r="AC64" s="9" t="s">
        <v>108</v>
      </c>
      <c r="AF64" s="9" t="s">
        <v>19</v>
      </c>
      <c r="AG64" s="9">
        <v>1</v>
      </c>
    </row>
    <row r="65" spans="13:33" x14ac:dyDescent="0.25">
      <c r="M65" s="4">
        <v>2</v>
      </c>
      <c r="N65" s="4" t="s">
        <v>142</v>
      </c>
      <c r="O65" s="4" t="s">
        <v>40</v>
      </c>
      <c r="P65" s="4" t="s">
        <v>143</v>
      </c>
      <c r="Q65" s="4" t="s">
        <v>144</v>
      </c>
      <c r="R65" s="4" t="s">
        <v>23</v>
      </c>
      <c r="S65" s="4">
        <v>0.12736700000000001</v>
      </c>
      <c r="T65" s="4" t="s">
        <v>19</v>
      </c>
      <c r="U65" s="4">
        <v>1</v>
      </c>
      <c r="Y65" s="10">
        <v>5</v>
      </c>
      <c r="Z65" s="10" t="s">
        <v>109</v>
      </c>
      <c r="AA65" s="10" t="s">
        <v>106</v>
      </c>
      <c r="AB65" s="10" t="s">
        <v>110</v>
      </c>
      <c r="AC65" s="10" t="s">
        <v>111</v>
      </c>
      <c r="AD65" s="10" t="s">
        <v>101</v>
      </c>
      <c r="AE65" s="10">
        <v>3.5351199999999999E-2</v>
      </c>
      <c r="AF65" s="10" t="s">
        <v>19</v>
      </c>
      <c r="AG65" s="10">
        <v>1</v>
      </c>
    </row>
    <row r="66" spans="13:33" x14ac:dyDescent="0.25">
      <c r="M66" s="4">
        <v>2</v>
      </c>
      <c r="N66" s="4" t="s">
        <v>145</v>
      </c>
      <c r="O66" s="4" t="s">
        <v>40</v>
      </c>
      <c r="P66" s="4" t="s">
        <v>146</v>
      </c>
      <c r="Q66" s="4" t="s">
        <v>141</v>
      </c>
      <c r="R66" s="4" t="s">
        <v>23</v>
      </c>
      <c r="S66" s="4">
        <v>1.2850500000000001E-2</v>
      </c>
      <c r="T66" s="4" t="s">
        <v>19</v>
      </c>
      <c r="U66" s="4">
        <v>1</v>
      </c>
      <c r="Y66" s="10">
        <v>5</v>
      </c>
      <c r="Z66" s="10" t="s">
        <v>112</v>
      </c>
      <c r="AA66" s="10" t="s">
        <v>106</v>
      </c>
      <c r="AB66" s="10" t="s">
        <v>113</v>
      </c>
      <c r="AC66" s="10" t="s">
        <v>22</v>
      </c>
      <c r="AD66" s="10" t="s">
        <v>114</v>
      </c>
      <c r="AE66" s="10">
        <v>1.4843900000000001</v>
      </c>
      <c r="AF66" s="10" t="s">
        <v>19</v>
      </c>
      <c r="AG66" s="10">
        <v>1</v>
      </c>
    </row>
    <row r="67" spans="13:33" ht="30" x14ac:dyDescent="0.25">
      <c r="M67" s="4">
        <v>2</v>
      </c>
      <c r="N67" s="4" t="s">
        <v>147</v>
      </c>
      <c r="O67" s="4" t="s">
        <v>29</v>
      </c>
      <c r="P67" s="6" t="s">
        <v>148</v>
      </c>
      <c r="Q67" s="4" t="s">
        <v>149</v>
      </c>
      <c r="R67" s="3"/>
      <c r="S67" s="3"/>
      <c r="T67" s="4" t="s">
        <v>150</v>
      </c>
      <c r="U67" s="4">
        <v>1</v>
      </c>
      <c r="Y67" s="10">
        <v>5</v>
      </c>
      <c r="Z67" s="10" t="s">
        <v>115</v>
      </c>
      <c r="AA67" s="10" t="s">
        <v>25</v>
      </c>
      <c r="AB67" s="10"/>
      <c r="AC67" s="10" t="s">
        <v>36</v>
      </c>
      <c r="AD67" s="10" t="s">
        <v>27</v>
      </c>
      <c r="AE67" s="10"/>
      <c r="AF67" s="10"/>
      <c r="AG67" s="10">
        <v>2</v>
      </c>
    </row>
    <row r="68" spans="13:33" x14ac:dyDescent="0.25">
      <c r="M68" s="2">
        <v>3</v>
      </c>
      <c r="N68" s="2" t="s">
        <v>151</v>
      </c>
      <c r="O68" s="2" t="s">
        <v>29</v>
      </c>
      <c r="P68" s="2" t="s">
        <v>152</v>
      </c>
      <c r="Q68" s="2" t="s">
        <v>153</v>
      </c>
      <c r="R68" s="2" t="s">
        <v>101</v>
      </c>
      <c r="S68" s="2">
        <v>0.22809299999999999</v>
      </c>
      <c r="T68" s="2" t="s">
        <v>150</v>
      </c>
      <c r="U68" s="2">
        <v>1</v>
      </c>
      <c r="Y68" s="10">
        <v>5</v>
      </c>
      <c r="Z68" s="10" t="s">
        <v>116</v>
      </c>
      <c r="AA68" s="10" t="s">
        <v>25</v>
      </c>
      <c r="AB68" s="10"/>
      <c r="AC68" s="10" t="s">
        <v>117</v>
      </c>
      <c r="AD68" s="10" t="s">
        <v>27</v>
      </c>
      <c r="AE68" s="10"/>
      <c r="AF68" s="10"/>
      <c r="AG68" s="10">
        <v>3</v>
      </c>
    </row>
    <row r="69" spans="13:33" x14ac:dyDescent="0.25">
      <c r="M69" s="4">
        <v>4</v>
      </c>
      <c r="N69" s="4" t="s">
        <v>154</v>
      </c>
      <c r="O69" s="4" t="s">
        <v>29</v>
      </c>
      <c r="P69" s="4" t="s">
        <v>155</v>
      </c>
      <c r="Q69" s="4" t="s">
        <v>155</v>
      </c>
      <c r="R69" s="4" t="s">
        <v>101</v>
      </c>
      <c r="S69" s="4">
        <v>0.22809299999999999</v>
      </c>
      <c r="T69" s="4" t="s">
        <v>150</v>
      </c>
      <c r="U69" s="4">
        <v>1</v>
      </c>
      <c r="Y69" s="10">
        <v>5</v>
      </c>
      <c r="Z69" s="10" t="s">
        <v>118</v>
      </c>
      <c r="AA69" s="10" t="s">
        <v>25</v>
      </c>
      <c r="AB69" s="10" t="s">
        <v>76</v>
      </c>
      <c r="AC69" s="10" t="s">
        <v>76</v>
      </c>
      <c r="AD69" s="10" t="s">
        <v>27</v>
      </c>
      <c r="AE69" s="10"/>
      <c r="AF69" s="10"/>
      <c r="AG69" s="10">
        <v>4</v>
      </c>
    </row>
    <row r="70" spans="13:33" x14ac:dyDescent="0.25">
      <c r="M70" s="2">
        <v>3</v>
      </c>
      <c r="N70" s="2" t="s">
        <v>156</v>
      </c>
      <c r="O70" s="2" t="s">
        <v>25</v>
      </c>
      <c r="P70" s="2"/>
      <c r="Q70" s="2" t="s">
        <v>157</v>
      </c>
      <c r="R70" s="2" t="s">
        <v>27</v>
      </c>
      <c r="S70" s="2">
        <v>2.7665099999999998E-3</v>
      </c>
      <c r="T70" s="2"/>
      <c r="U70" s="2">
        <v>2</v>
      </c>
      <c r="Y70" s="10">
        <v>5</v>
      </c>
      <c r="Z70" s="10" t="s">
        <v>119</v>
      </c>
      <c r="AA70" s="10" t="s">
        <v>25</v>
      </c>
      <c r="AB70" s="10" t="s">
        <v>50</v>
      </c>
      <c r="AC70" s="10" t="s">
        <v>50</v>
      </c>
      <c r="AD70" s="10" t="s">
        <v>27</v>
      </c>
      <c r="AE70" s="10"/>
      <c r="AF70" s="10"/>
      <c r="AG70" s="10">
        <v>17</v>
      </c>
    </row>
    <row r="71" spans="13:33" x14ac:dyDescent="0.25">
      <c r="M71" s="2">
        <v>3</v>
      </c>
      <c r="N71" s="2" t="s">
        <v>158</v>
      </c>
      <c r="O71" s="2" t="s">
        <v>25</v>
      </c>
      <c r="P71" s="2"/>
      <c r="Q71" s="2" t="s">
        <v>159</v>
      </c>
      <c r="R71" s="2" t="s">
        <v>27</v>
      </c>
      <c r="S71" s="2"/>
      <c r="T71" s="2"/>
      <c r="U71" s="2">
        <v>8</v>
      </c>
      <c r="Y71" s="9">
        <v>4</v>
      </c>
      <c r="Z71" s="9" t="s">
        <v>120</v>
      </c>
      <c r="AA71" s="9" t="s">
        <v>54</v>
      </c>
      <c r="AB71" s="9" t="s">
        <v>121</v>
      </c>
      <c r="AC71" s="9" t="s">
        <v>42</v>
      </c>
      <c r="AF71" s="9" t="s">
        <v>19</v>
      </c>
      <c r="AG71" s="9">
        <v>1</v>
      </c>
    </row>
    <row r="72" spans="13:33" x14ac:dyDescent="0.25">
      <c r="M72" s="4">
        <v>2</v>
      </c>
      <c r="N72" s="4" t="s">
        <v>160</v>
      </c>
      <c r="O72" s="4" t="s">
        <v>17</v>
      </c>
      <c r="P72" s="4" t="s">
        <v>133</v>
      </c>
      <c r="Q72" s="4" t="s">
        <v>133</v>
      </c>
      <c r="R72" s="3"/>
      <c r="S72" s="3"/>
      <c r="T72" s="4" t="s">
        <v>19</v>
      </c>
      <c r="U72" s="4">
        <v>1</v>
      </c>
      <c r="Y72" s="10">
        <v>5</v>
      </c>
      <c r="Z72" s="10" t="s">
        <v>122</v>
      </c>
      <c r="AA72" s="10" t="s">
        <v>54</v>
      </c>
      <c r="AB72" s="10" t="s">
        <v>123</v>
      </c>
      <c r="AC72" s="10" t="s">
        <v>22</v>
      </c>
      <c r="AD72" s="10" t="s">
        <v>124</v>
      </c>
      <c r="AE72" s="10">
        <v>0.49105100000000002</v>
      </c>
      <c r="AF72" s="10" t="s">
        <v>19</v>
      </c>
      <c r="AG72" s="10">
        <v>1</v>
      </c>
    </row>
    <row r="73" spans="13:33" x14ac:dyDescent="0.25">
      <c r="M73" s="2">
        <v>3</v>
      </c>
      <c r="N73" s="2" t="s">
        <v>161</v>
      </c>
      <c r="O73" s="2" t="s">
        <v>17</v>
      </c>
      <c r="P73" s="2" t="s">
        <v>162</v>
      </c>
      <c r="Q73" s="2" t="s">
        <v>22</v>
      </c>
      <c r="R73" s="2" t="s">
        <v>45</v>
      </c>
      <c r="S73" s="2">
        <v>0.115733</v>
      </c>
      <c r="T73" s="2" t="s">
        <v>19</v>
      </c>
      <c r="U73" s="2">
        <v>1</v>
      </c>
      <c r="Y73" s="10">
        <v>5</v>
      </c>
      <c r="Z73" s="10" t="s">
        <v>125</v>
      </c>
      <c r="AA73" s="10" t="s">
        <v>25</v>
      </c>
      <c r="AB73" s="10" t="s">
        <v>126</v>
      </c>
      <c r="AC73" s="10" t="s">
        <v>126</v>
      </c>
      <c r="AD73" s="10" t="s">
        <v>27</v>
      </c>
      <c r="AE73" s="10">
        <v>2.2757300000000001E-3</v>
      </c>
      <c r="AF73" s="10"/>
      <c r="AG73" s="10">
        <v>3</v>
      </c>
    </row>
    <row r="74" spans="13:33" ht="30" x14ac:dyDescent="0.25">
      <c r="M74" s="2">
        <v>3</v>
      </c>
      <c r="N74" s="2" t="s">
        <v>56</v>
      </c>
      <c r="O74" s="2" t="s">
        <v>25</v>
      </c>
      <c r="P74" s="2" t="s">
        <v>57</v>
      </c>
      <c r="Q74" s="2" t="s">
        <v>57</v>
      </c>
      <c r="R74" s="2" t="s">
        <v>27</v>
      </c>
      <c r="S74" s="2"/>
      <c r="T74" s="2"/>
      <c r="U74" s="2">
        <v>6</v>
      </c>
      <c r="Y74" s="10">
        <v>5</v>
      </c>
      <c r="Z74" s="10" t="s">
        <v>127</v>
      </c>
      <c r="AA74" s="10" t="s">
        <v>25</v>
      </c>
      <c r="AB74" s="12" t="s">
        <v>128</v>
      </c>
      <c r="AC74" s="10" t="s">
        <v>129</v>
      </c>
      <c r="AD74" s="10" t="s">
        <v>27</v>
      </c>
      <c r="AE74" s="10">
        <v>8.62366E-3</v>
      </c>
      <c r="AF74" s="10"/>
      <c r="AG74" s="10">
        <v>4</v>
      </c>
    </row>
    <row r="75" spans="13:33" ht="30" x14ac:dyDescent="0.25">
      <c r="M75" s="4">
        <v>2</v>
      </c>
      <c r="N75" s="4" t="s">
        <v>163</v>
      </c>
      <c r="O75" s="4" t="s">
        <v>86</v>
      </c>
      <c r="P75" s="4" t="s">
        <v>164</v>
      </c>
      <c r="Q75" s="4" t="s">
        <v>164</v>
      </c>
      <c r="R75" s="3"/>
      <c r="S75" s="3"/>
      <c r="T75" s="4" t="s">
        <v>165</v>
      </c>
      <c r="U75" s="4">
        <v>1</v>
      </c>
      <c r="Y75" s="9">
        <v>4</v>
      </c>
      <c r="Z75" s="9" t="s">
        <v>130</v>
      </c>
      <c r="AA75" s="9" t="s">
        <v>131</v>
      </c>
      <c r="AB75" s="11" t="s">
        <v>132</v>
      </c>
      <c r="AC75" s="9" t="s">
        <v>133</v>
      </c>
      <c r="AF75" s="9" t="s">
        <v>19</v>
      </c>
      <c r="AG75" s="9">
        <v>1</v>
      </c>
    </row>
    <row r="76" spans="13:33" ht="45" x14ac:dyDescent="0.25">
      <c r="M76" s="2">
        <v>3</v>
      </c>
      <c r="N76" s="2" t="s">
        <v>166</v>
      </c>
      <c r="O76" s="2" t="s">
        <v>131</v>
      </c>
      <c r="P76" s="5" t="s">
        <v>167</v>
      </c>
      <c r="Q76" s="2" t="s">
        <v>168</v>
      </c>
      <c r="R76" s="2" t="s">
        <v>169</v>
      </c>
      <c r="S76" s="2">
        <v>0.18022199999999999</v>
      </c>
      <c r="T76" s="2" t="s">
        <v>165</v>
      </c>
      <c r="U76" s="2">
        <v>1</v>
      </c>
      <c r="Y76" s="10">
        <v>5</v>
      </c>
      <c r="Z76" s="10" t="s">
        <v>134</v>
      </c>
      <c r="AA76" s="10" t="s">
        <v>131</v>
      </c>
      <c r="AB76" s="10" t="s">
        <v>135</v>
      </c>
      <c r="AC76" s="10" t="s">
        <v>22</v>
      </c>
      <c r="AD76" s="10" t="s">
        <v>23</v>
      </c>
      <c r="AE76" s="10">
        <v>0.15198200000000001</v>
      </c>
      <c r="AF76" s="10" t="s">
        <v>19</v>
      </c>
      <c r="AG76" s="10">
        <v>1</v>
      </c>
    </row>
    <row r="77" spans="13:33" x14ac:dyDescent="0.25">
      <c r="M77" s="2">
        <v>3</v>
      </c>
      <c r="N77" s="2" t="s">
        <v>170</v>
      </c>
      <c r="O77" s="2" t="s">
        <v>29</v>
      </c>
      <c r="P77" s="2" t="s">
        <v>171</v>
      </c>
      <c r="Q77" s="2" t="s">
        <v>171</v>
      </c>
      <c r="R77" s="3"/>
      <c r="S77" s="3"/>
      <c r="T77" s="2"/>
      <c r="U77" s="2">
        <v>3</v>
      </c>
      <c r="Y77" s="10">
        <v>5</v>
      </c>
      <c r="Z77" s="10" t="s">
        <v>24</v>
      </c>
      <c r="AA77" s="10" t="s">
        <v>25</v>
      </c>
      <c r="AB77" s="10"/>
      <c r="AC77" s="10" t="s">
        <v>26</v>
      </c>
      <c r="AD77" s="10" t="s">
        <v>27</v>
      </c>
      <c r="AE77" s="10"/>
      <c r="AF77" s="10"/>
      <c r="AG77" s="10">
        <v>4</v>
      </c>
    </row>
    <row r="78" spans="13:33" ht="30" x14ac:dyDescent="0.25">
      <c r="M78" s="4">
        <v>4</v>
      </c>
      <c r="N78" s="4" t="s">
        <v>172</v>
      </c>
      <c r="O78" s="4" t="s">
        <v>29</v>
      </c>
      <c r="P78" s="4" t="s">
        <v>173</v>
      </c>
      <c r="Q78" s="4" t="s">
        <v>173</v>
      </c>
      <c r="R78" s="4" t="s">
        <v>101</v>
      </c>
      <c r="S78" s="4">
        <v>1.4948400000000001E-2</v>
      </c>
      <c r="T78" s="4"/>
      <c r="U78" s="4">
        <v>1</v>
      </c>
      <c r="Y78" s="9">
        <v>4</v>
      </c>
      <c r="Z78" s="9" t="s">
        <v>136</v>
      </c>
      <c r="AA78" s="9" t="s">
        <v>131</v>
      </c>
      <c r="AB78" s="11" t="s">
        <v>132</v>
      </c>
      <c r="AC78" s="9" t="s">
        <v>133</v>
      </c>
      <c r="AF78" s="9" t="s">
        <v>19</v>
      </c>
      <c r="AG78" s="9">
        <v>1</v>
      </c>
    </row>
    <row r="79" spans="13:33" x14ac:dyDescent="0.25">
      <c r="M79" s="4">
        <v>4</v>
      </c>
      <c r="N79" s="4" t="s">
        <v>174</v>
      </c>
      <c r="O79" s="4" t="s">
        <v>25</v>
      </c>
      <c r="P79" s="4"/>
      <c r="Q79" s="4" t="s">
        <v>175</v>
      </c>
      <c r="R79" s="4" t="s">
        <v>176</v>
      </c>
      <c r="S79" s="4"/>
      <c r="T79" s="4"/>
      <c r="U79" s="4">
        <v>1</v>
      </c>
      <c r="Y79" s="10">
        <v>5</v>
      </c>
      <c r="Z79" s="10" t="s">
        <v>137</v>
      </c>
      <c r="AA79" s="10" t="s">
        <v>25</v>
      </c>
      <c r="AB79" s="10" t="s">
        <v>50</v>
      </c>
      <c r="AC79" s="10" t="s">
        <v>50</v>
      </c>
      <c r="AD79" s="10" t="s">
        <v>27</v>
      </c>
      <c r="AE79" s="10">
        <v>1.76592E-3</v>
      </c>
      <c r="AF79" s="10"/>
      <c r="AG79" s="10">
        <v>1</v>
      </c>
    </row>
    <row r="80" spans="13:33" x14ac:dyDescent="0.25">
      <c r="M80" s="2">
        <v>3</v>
      </c>
      <c r="N80" s="2" t="s">
        <v>177</v>
      </c>
      <c r="O80" s="2" t="s">
        <v>25</v>
      </c>
      <c r="P80" s="2"/>
      <c r="Q80" s="2" t="s">
        <v>178</v>
      </c>
      <c r="R80" s="2" t="s">
        <v>27</v>
      </c>
      <c r="S80" s="2"/>
      <c r="T80" s="2"/>
      <c r="U80" s="2">
        <v>6</v>
      </c>
      <c r="Y80" s="10">
        <v>5</v>
      </c>
      <c r="Z80" s="10" t="s">
        <v>138</v>
      </c>
      <c r="AA80" s="10" t="s">
        <v>131</v>
      </c>
      <c r="AB80" s="10" t="s">
        <v>135</v>
      </c>
      <c r="AC80" s="10" t="s">
        <v>22</v>
      </c>
      <c r="AD80" s="10" t="s">
        <v>23</v>
      </c>
      <c r="AE80" s="10">
        <v>0.20883499999999999</v>
      </c>
      <c r="AF80" s="10" t="s">
        <v>19</v>
      </c>
      <c r="AG80" s="10">
        <v>1</v>
      </c>
    </row>
    <row r="81" spans="13:33" x14ac:dyDescent="0.25">
      <c r="M81" s="4">
        <v>2</v>
      </c>
      <c r="N81" s="4" t="s">
        <v>179</v>
      </c>
      <c r="O81" s="4" t="s">
        <v>86</v>
      </c>
      <c r="P81" s="4" t="s">
        <v>164</v>
      </c>
      <c r="Q81" s="4" t="s">
        <v>180</v>
      </c>
      <c r="R81" s="3"/>
      <c r="S81" s="3"/>
      <c r="T81" s="4" t="s">
        <v>165</v>
      </c>
      <c r="U81" s="4">
        <v>1</v>
      </c>
      <c r="Y81" s="10">
        <v>5</v>
      </c>
      <c r="Z81" s="10" t="s">
        <v>24</v>
      </c>
      <c r="AA81" s="10" t="s">
        <v>25</v>
      </c>
      <c r="AB81" s="10"/>
      <c r="AC81" s="10" t="s">
        <v>26</v>
      </c>
      <c r="AD81" s="10" t="s">
        <v>27</v>
      </c>
      <c r="AE81" s="10"/>
      <c r="AF81" s="10"/>
      <c r="AG81" s="10">
        <v>4</v>
      </c>
    </row>
    <row r="82" spans="13:33" ht="45" x14ac:dyDescent="0.25">
      <c r="M82" s="2">
        <v>3</v>
      </c>
      <c r="N82" s="2" t="s">
        <v>181</v>
      </c>
      <c r="O82" s="2" t="s">
        <v>131</v>
      </c>
      <c r="P82" s="5" t="s">
        <v>182</v>
      </c>
      <c r="Q82" s="2" t="s">
        <v>183</v>
      </c>
      <c r="R82" s="2" t="s">
        <v>169</v>
      </c>
      <c r="S82" s="2">
        <v>0.180731</v>
      </c>
      <c r="T82" s="2" t="s">
        <v>165</v>
      </c>
      <c r="U82" s="2">
        <v>1</v>
      </c>
      <c r="Y82" s="9">
        <v>4</v>
      </c>
      <c r="Z82" s="9" t="s">
        <v>139</v>
      </c>
      <c r="AA82" s="9" t="s">
        <v>40</v>
      </c>
      <c r="AB82" s="9" t="s">
        <v>140</v>
      </c>
      <c r="AC82" s="9" t="s">
        <v>141</v>
      </c>
      <c r="AD82" s="9" t="s">
        <v>23</v>
      </c>
      <c r="AE82" s="9">
        <v>1.49404E-2</v>
      </c>
      <c r="AF82" s="9" t="s">
        <v>19</v>
      </c>
      <c r="AG82" s="9">
        <v>1</v>
      </c>
    </row>
    <row r="83" spans="13:33" x14ac:dyDescent="0.25">
      <c r="M83" s="2">
        <v>3</v>
      </c>
      <c r="N83" s="2" t="s">
        <v>170</v>
      </c>
      <c r="O83" s="2" t="s">
        <v>29</v>
      </c>
      <c r="P83" s="2" t="s">
        <v>171</v>
      </c>
      <c r="Q83" s="2" t="s">
        <v>171</v>
      </c>
      <c r="R83" s="3"/>
      <c r="S83" s="3"/>
      <c r="T83" s="2"/>
      <c r="U83" s="2">
        <v>2</v>
      </c>
      <c r="Y83" s="9">
        <v>4</v>
      </c>
      <c r="Z83" s="9" t="s">
        <v>142</v>
      </c>
      <c r="AA83" s="9" t="s">
        <v>40</v>
      </c>
      <c r="AB83" s="9" t="s">
        <v>143</v>
      </c>
      <c r="AC83" s="9" t="s">
        <v>144</v>
      </c>
      <c r="AD83" s="9" t="s">
        <v>23</v>
      </c>
      <c r="AE83" s="9">
        <v>0.12736700000000001</v>
      </c>
      <c r="AF83" s="9" t="s">
        <v>19</v>
      </c>
      <c r="AG83" s="9">
        <v>1</v>
      </c>
    </row>
    <row r="84" spans="13:33" x14ac:dyDescent="0.25">
      <c r="M84" s="4">
        <v>4</v>
      </c>
      <c r="N84" s="4" t="s">
        <v>172</v>
      </c>
      <c r="O84" s="4" t="s">
        <v>29</v>
      </c>
      <c r="P84" s="4" t="s">
        <v>173</v>
      </c>
      <c r="Q84" s="4" t="s">
        <v>173</v>
      </c>
      <c r="R84" s="4" t="s">
        <v>101</v>
      </c>
      <c r="S84" s="4">
        <v>1.4948400000000001E-2</v>
      </c>
      <c r="T84" s="4"/>
      <c r="U84" s="4">
        <v>1</v>
      </c>
      <c r="Y84" s="9">
        <v>4</v>
      </c>
      <c r="Z84" s="9" t="s">
        <v>145</v>
      </c>
      <c r="AA84" s="9" t="s">
        <v>40</v>
      </c>
      <c r="AB84" s="9" t="s">
        <v>146</v>
      </c>
      <c r="AC84" s="9" t="s">
        <v>141</v>
      </c>
      <c r="AD84" s="9" t="s">
        <v>23</v>
      </c>
      <c r="AE84" s="9">
        <v>1.2850500000000001E-2</v>
      </c>
      <c r="AF84" s="9" t="s">
        <v>19</v>
      </c>
      <c r="AG84" s="9">
        <v>1</v>
      </c>
    </row>
    <row r="85" spans="13:33" ht="30" x14ac:dyDescent="0.25">
      <c r="M85" s="4">
        <v>4</v>
      </c>
      <c r="N85" s="4" t="s">
        <v>174</v>
      </c>
      <c r="O85" s="4" t="s">
        <v>25</v>
      </c>
      <c r="P85" s="4"/>
      <c r="Q85" s="4" t="s">
        <v>175</v>
      </c>
      <c r="R85" s="4" t="s">
        <v>176</v>
      </c>
      <c r="S85" s="4"/>
      <c r="T85" s="4"/>
      <c r="U85" s="4">
        <v>1</v>
      </c>
      <c r="Y85" s="9">
        <v>4</v>
      </c>
      <c r="Z85" s="9" t="s">
        <v>147</v>
      </c>
      <c r="AA85" s="9" t="s">
        <v>29</v>
      </c>
      <c r="AB85" s="11" t="s">
        <v>148</v>
      </c>
      <c r="AC85" s="9" t="s">
        <v>149</v>
      </c>
      <c r="AF85" s="9" t="s">
        <v>150</v>
      </c>
      <c r="AG85" s="9">
        <v>1</v>
      </c>
    </row>
    <row r="86" spans="13:33" x14ac:dyDescent="0.25">
      <c r="M86" s="2">
        <v>3</v>
      </c>
      <c r="N86" s="2" t="s">
        <v>177</v>
      </c>
      <c r="O86" s="2" t="s">
        <v>25</v>
      </c>
      <c r="P86" s="2"/>
      <c r="Q86" s="2" t="s">
        <v>178</v>
      </c>
      <c r="R86" s="2" t="s">
        <v>27</v>
      </c>
      <c r="S86" s="2"/>
      <c r="T86" s="2"/>
      <c r="U86" s="2">
        <v>4</v>
      </c>
      <c r="Y86" s="10">
        <v>5</v>
      </c>
      <c r="Z86" s="10" t="s">
        <v>151</v>
      </c>
      <c r="AA86" s="10" t="s">
        <v>29</v>
      </c>
      <c r="AB86" s="10" t="s">
        <v>152</v>
      </c>
      <c r="AC86" s="10" t="s">
        <v>153</v>
      </c>
      <c r="AD86" s="10" t="s">
        <v>101</v>
      </c>
      <c r="AE86" s="10">
        <v>0.22809299999999999</v>
      </c>
      <c r="AF86" s="10" t="s">
        <v>150</v>
      </c>
      <c r="AG86" s="10">
        <v>1</v>
      </c>
    </row>
    <row r="87" spans="13:33" x14ac:dyDescent="0.25">
      <c r="M87" s="4">
        <v>2</v>
      </c>
      <c r="N87" s="4" t="s">
        <v>184</v>
      </c>
      <c r="O87" s="4" t="s">
        <v>86</v>
      </c>
      <c r="P87" s="4" t="s">
        <v>164</v>
      </c>
      <c r="Q87" s="4" t="s">
        <v>185</v>
      </c>
      <c r="R87" s="3"/>
      <c r="S87" s="3"/>
      <c r="T87" s="4" t="s">
        <v>165</v>
      </c>
      <c r="U87" s="4">
        <v>1</v>
      </c>
      <c r="Y87" s="9">
        <v>6</v>
      </c>
      <c r="Z87" s="9" t="s">
        <v>154</v>
      </c>
      <c r="AA87" s="9" t="s">
        <v>29</v>
      </c>
      <c r="AB87" s="9" t="s">
        <v>155</v>
      </c>
      <c r="AC87" s="9" t="s">
        <v>155</v>
      </c>
      <c r="AD87" s="9" t="s">
        <v>101</v>
      </c>
      <c r="AE87" s="9">
        <v>0.22809299999999999</v>
      </c>
      <c r="AF87" s="9" t="s">
        <v>150</v>
      </c>
      <c r="AG87" s="9">
        <v>1</v>
      </c>
    </row>
    <row r="88" spans="13:33" ht="45" x14ac:dyDescent="0.25">
      <c r="M88" s="2">
        <v>3</v>
      </c>
      <c r="N88" s="2" t="s">
        <v>186</v>
      </c>
      <c r="O88" s="2" t="s">
        <v>131</v>
      </c>
      <c r="P88" s="5" t="s">
        <v>182</v>
      </c>
      <c r="Q88" s="2" t="s">
        <v>187</v>
      </c>
      <c r="R88" s="2" t="s">
        <v>169</v>
      </c>
      <c r="S88" s="2">
        <v>0.18022199999999999</v>
      </c>
      <c r="T88" s="2" t="s">
        <v>165</v>
      </c>
      <c r="U88" s="2">
        <v>1</v>
      </c>
      <c r="Y88" s="10">
        <v>5</v>
      </c>
      <c r="Z88" s="10" t="s">
        <v>156</v>
      </c>
      <c r="AA88" s="10" t="s">
        <v>25</v>
      </c>
      <c r="AB88" s="10"/>
      <c r="AC88" s="10" t="s">
        <v>157</v>
      </c>
      <c r="AD88" s="10" t="s">
        <v>27</v>
      </c>
      <c r="AE88" s="10">
        <v>2.7665099999999998E-3</v>
      </c>
      <c r="AF88" s="10"/>
      <c r="AG88" s="10">
        <v>2</v>
      </c>
    </row>
    <row r="89" spans="13:33" x14ac:dyDescent="0.25">
      <c r="M89" s="2">
        <v>3</v>
      </c>
      <c r="N89" s="2" t="s">
        <v>170</v>
      </c>
      <c r="O89" s="2" t="s">
        <v>29</v>
      </c>
      <c r="P89" s="2" t="s">
        <v>171</v>
      </c>
      <c r="Q89" s="2" t="s">
        <v>171</v>
      </c>
      <c r="R89" s="3"/>
      <c r="S89" s="3"/>
      <c r="T89" s="2"/>
      <c r="U89" s="2">
        <v>3</v>
      </c>
      <c r="Y89" s="10">
        <v>5</v>
      </c>
      <c r="Z89" s="10" t="s">
        <v>158</v>
      </c>
      <c r="AA89" s="10" t="s">
        <v>25</v>
      </c>
      <c r="AB89" s="10"/>
      <c r="AC89" s="10" t="s">
        <v>159</v>
      </c>
      <c r="AD89" s="10" t="s">
        <v>27</v>
      </c>
      <c r="AE89" s="10"/>
      <c r="AF89" s="10"/>
      <c r="AG89" s="10">
        <v>8</v>
      </c>
    </row>
    <row r="90" spans="13:33" x14ac:dyDescent="0.25">
      <c r="M90" s="4">
        <v>4</v>
      </c>
      <c r="N90" s="4" t="s">
        <v>172</v>
      </c>
      <c r="O90" s="4" t="s">
        <v>29</v>
      </c>
      <c r="P90" s="4" t="s">
        <v>173</v>
      </c>
      <c r="Q90" s="4" t="s">
        <v>173</v>
      </c>
      <c r="R90" s="4" t="s">
        <v>101</v>
      </c>
      <c r="S90" s="4">
        <v>1.4948400000000001E-2</v>
      </c>
      <c r="T90" s="4"/>
      <c r="U90" s="4">
        <v>1</v>
      </c>
      <c r="Y90" s="9">
        <v>4</v>
      </c>
      <c r="Z90" s="9" t="s">
        <v>160</v>
      </c>
      <c r="AA90" s="9" t="s">
        <v>17</v>
      </c>
      <c r="AB90" s="9" t="s">
        <v>133</v>
      </c>
      <c r="AC90" s="9" t="s">
        <v>133</v>
      </c>
      <c r="AF90" s="9" t="s">
        <v>19</v>
      </c>
      <c r="AG90" s="9">
        <v>1</v>
      </c>
    </row>
    <row r="91" spans="13:33" x14ac:dyDescent="0.25">
      <c r="M91" s="4">
        <v>4</v>
      </c>
      <c r="N91" s="4" t="s">
        <v>174</v>
      </c>
      <c r="O91" s="4" t="s">
        <v>25</v>
      </c>
      <c r="P91" s="4"/>
      <c r="Q91" s="4" t="s">
        <v>175</v>
      </c>
      <c r="R91" s="4" t="s">
        <v>176</v>
      </c>
      <c r="S91" s="4"/>
      <c r="T91" s="4"/>
      <c r="U91" s="4">
        <v>1</v>
      </c>
      <c r="Y91" s="10">
        <v>5</v>
      </c>
      <c r="Z91" s="10" t="s">
        <v>161</v>
      </c>
      <c r="AA91" s="10" t="s">
        <v>17</v>
      </c>
      <c r="AB91" s="10" t="s">
        <v>162</v>
      </c>
      <c r="AC91" s="10" t="s">
        <v>22</v>
      </c>
      <c r="AD91" s="10" t="s">
        <v>45</v>
      </c>
      <c r="AE91" s="10">
        <v>0.115733</v>
      </c>
      <c r="AF91" s="10" t="s">
        <v>19</v>
      </c>
      <c r="AG91" s="10">
        <v>1</v>
      </c>
    </row>
    <row r="92" spans="13:33" x14ac:dyDescent="0.25">
      <c r="M92" s="2">
        <v>3</v>
      </c>
      <c r="N92" s="2" t="s">
        <v>177</v>
      </c>
      <c r="O92" s="2" t="s">
        <v>25</v>
      </c>
      <c r="P92" s="2"/>
      <c r="Q92" s="2" t="s">
        <v>178</v>
      </c>
      <c r="R92" s="2" t="s">
        <v>27</v>
      </c>
      <c r="S92" s="2"/>
      <c r="T92" s="2"/>
      <c r="U92" s="2">
        <v>6</v>
      </c>
      <c r="Y92" s="10">
        <v>5</v>
      </c>
      <c r="Z92" s="10" t="s">
        <v>56</v>
      </c>
      <c r="AA92" s="10" t="s">
        <v>25</v>
      </c>
      <c r="AB92" s="10" t="s">
        <v>57</v>
      </c>
      <c r="AC92" s="10" t="s">
        <v>57</v>
      </c>
      <c r="AD92" s="10" t="s">
        <v>27</v>
      </c>
      <c r="AE92" s="10"/>
      <c r="AF92" s="10"/>
      <c r="AG92" s="10">
        <v>6</v>
      </c>
    </row>
    <row r="93" spans="13:33" x14ac:dyDescent="0.25">
      <c r="M93" s="4">
        <v>2</v>
      </c>
      <c r="N93" s="4" t="s">
        <v>188</v>
      </c>
      <c r="O93" s="4" t="s">
        <v>86</v>
      </c>
      <c r="P93" s="4" t="s">
        <v>164</v>
      </c>
      <c r="Q93" s="4" t="s">
        <v>189</v>
      </c>
      <c r="R93" s="3"/>
      <c r="S93" s="3"/>
      <c r="T93" s="4" t="s">
        <v>165</v>
      </c>
      <c r="U93" s="4">
        <v>1</v>
      </c>
      <c r="Y93" s="9">
        <v>4</v>
      </c>
      <c r="Z93" s="9" t="s">
        <v>163</v>
      </c>
      <c r="AA93" s="9" t="s">
        <v>86</v>
      </c>
      <c r="AB93" s="9" t="s">
        <v>164</v>
      </c>
      <c r="AC93" s="9" t="s">
        <v>164</v>
      </c>
      <c r="AF93" s="9" t="s">
        <v>165</v>
      </c>
      <c r="AG93" s="9">
        <v>1</v>
      </c>
    </row>
    <row r="94" spans="13:33" ht="45" x14ac:dyDescent="0.25">
      <c r="M94" s="2">
        <v>3</v>
      </c>
      <c r="N94" s="2" t="s">
        <v>190</v>
      </c>
      <c r="O94" s="2" t="s">
        <v>131</v>
      </c>
      <c r="P94" s="5" t="s">
        <v>182</v>
      </c>
      <c r="Q94" s="2" t="s">
        <v>168</v>
      </c>
      <c r="R94" s="2" t="s">
        <v>169</v>
      </c>
      <c r="S94" s="2">
        <v>0.18013000000000001</v>
      </c>
      <c r="T94" s="2" t="s">
        <v>165</v>
      </c>
      <c r="U94" s="2">
        <v>1</v>
      </c>
      <c r="Y94" s="10">
        <v>5</v>
      </c>
      <c r="Z94" s="10" t="s">
        <v>166</v>
      </c>
      <c r="AA94" s="10" t="s">
        <v>131</v>
      </c>
      <c r="AB94" s="12" t="s">
        <v>167</v>
      </c>
      <c r="AC94" s="10" t="s">
        <v>168</v>
      </c>
      <c r="AD94" s="10" t="s">
        <v>169</v>
      </c>
      <c r="AE94" s="10">
        <v>0.18022199999999999</v>
      </c>
      <c r="AF94" s="10" t="s">
        <v>165</v>
      </c>
      <c r="AG94" s="10">
        <v>1</v>
      </c>
    </row>
    <row r="95" spans="13:33" x14ac:dyDescent="0.25">
      <c r="M95" s="2">
        <v>3</v>
      </c>
      <c r="N95" s="2" t="s">
        <v>170</v>
      </c>
      <c r="O95" s="2" t="s">
        <v>29</v>
      </c>
      <c r="P95" s="2" t="s">
        <v>171</v>
      </c>
      <c r="Q95" s="2" t="s">
        <v>171</v>
      </c>
      <c r="R95" s="3"/>
      <c r="S95" s="3"/>
      <c r="T95" s="2"/>
      <c r="U95" s="2">
        <v>3</v>
      </c>
      <c r="Y95" s="10">
        <v>5</v>
      </c>
      <c r="Z95" s="10" t="s">
        <v>170</v>
      </c>
      <c r="AA95" s="10" t="s">
        <v>29</v>
      </c>
      <c r="AB95" s="10" t="s">
        <v>171</v>
      </c>
      <c r="AC95" s="10" t="s">
        <v>171</v>
      </c>
      <c r="AF95" s="10"/>
      <c r="AG95" s="10">
        <v>3</v>
      </c>
    </row>
    <row r="96" spans="13:33" x14ac:dyDescent="0.25">
      <c r="M96" s="4">
        <v>4</v>
      </c>
      <c r="N96" s="4" t="s">
        <v>172</v>
      </c>
      <c r="O96" s="4" t="s">
        <v>29</v>
      </c>
      <c r="P96" s="4" t="s">
        <v>173</v>
      </c>
      <c r="Q96" s="4" t="s">
        <v>173</v>
      </c>
      <c r="R96" s="4" t="s">
        <v>101</v>
      </c>
      <c r="S96" s="4">
        <v>1.4948400000000001E-2</v>
      </c>
      <c r="T96" s="4"/>
      <c r="U96" s="4">
        <v>1</v>
      </c>
      <c r="Y96" s="9">
        <v>6</v>
      </c>
      <c r="Z96" s="9" t="s">
        <v>172</v>
      </c>
      <c r="AA96" s="9" t="s">
        <v>29</v>
      </c>
      <c r="AB96" s="9" t="s">
        <v>173</v>
      </c>
      <c r="AC96" s="9" t="s">
        <v>173</v>
      </c>
      <c r="AD96" s="9" t="s">
        <v>101</v>
      </c>
      <c r="AE96" s="9">
        <v>1.4948400000000001E-2</v>
      </c>
      <c r="AF96" s="9"/>
      <c r="AG96" s="9">
        <v>1</v>
      </c>
    </row>
    <row r="97" spans="13:33" x14ac:dyDescent="0.25">
      <c r="M97" s="4">
        <v>4</v>
      </c>
      <c r="N97" s="4" t="s">
        <v>174</v>
      </c>
      <c r="O97" s="4" t="s">
        <v>25</v>
      </c>
      <c r="P97" s="4"/>
      <c r="Q97" s="4" t="s">
        <v>175</v>
      </c>
      <c r="R97" s="4" t="s">
        <v>176</v>
      </c>
      <c r="S97" s="4"/>
      <c r="T97" s="4"/>
      <c r="U97" s="4">
        <v>1</v>
      </c>
      <c r="Y97" s="9">
        <v>6</v>
      </c>
      <c r="Z97" s="9" t="s">
        <v>174</v>
      </c>
      <c r="AA97" s="9" t="s">
        <v>25</v>
      </c>
      <c r="AB97" s="9"/>
      <c r="AC97" s="9" t="s">
        <v>175</v>
      </c>
      <c r="AD97" s="9" t="s">
        <v>176</v>
      </c>
      <c r="AE97" s="9"/>
      <c r="AF97" s="9"/>
      <c r="AG97" s="9">
        <v>1</v>
      </c>
    </row>
    <row r="98" spans="13:33" x14ac:dyDescent="0.25">
      <c r="M98" s="2">
        <v>3</v>
      </c>
      <c r="N98" s="2" t="s">
        <v>177</v>
      </c>
      <c r="O98" s="2" t="s">
        <v>25</v>
      </c>
      <c r="P98" s="2"/>
      <c r="Q98" s="2" t="s">
        <v>178</v>
      </c>
      <c r="R98" s="2" t="s">
        <v>27</v>
      </c>
      <c r="S98" s="2"/>
      <c r="T98" s="2"/>
      <c r="U98" s="2">
        <v>6</v>
      </c>
      <c r="Y98" s="10">
        <v>5</v>
      </c>
      <c r="Z98" s="10" t="s">
        <v>177</v>
      </c>
      <c r="AA98" s="10" t="s">
        <v>25</v>
      </c>
      <c r="AB98" s="10"/>
      <c r="AC98" s="10" t="s">
        <v>178</v>
      </c>
      <c r="AD98" s="10" t="s">
        <v>27</v>
      </c>
      <c r="AE98" s="10"/>
      <c r="AF98" s="10"/>
      <c r="AG98" s="10">
        <v>6</v>
      </c>
    </row>
    <row r="99" spans="13:33" x14ac:dyDescent="0.25">
      <c r="M99" s="4">
        <v>2</v>
      </c>
      <c r="N99" s="4" t="s">
        <v>191</v>
      </c>
      <c r="O99" s="4" t="s">
        <v>54</v>
      </c>
      <c r="P99" s="4" t="s">
        <v>192</v>
      </c>
      <c r="Q99" s="4" t="s">
        <v>193</v>
      </c>
      <c r="R99" s="4" t="s">
        <v>101</v>
      </c>
      <c r="S99" s="4">
        <v>8.2435400000000006E-3</v>
      </c>
      <c r="T99" s="4"/>
      <c r="U99" s="4">
        <v>1</v>
      </c>
      <c r="Y99" s="9">
        <v>4</v>
      </c>
      <c r="Z99" s="9" t="s">
        <v>179</v>
      </c>
      <c r="AA99" s="9" t="s">
        <v>86</v>
      </c>
      <c r="AB99" s="9" t="s">
        <v>164</v>
      </c>
      <c r="AC99" s="9" t="s">
        <v>180</v>
      </c>
      <c r="AF99" s="9" t="s">
        <v>165</v>
      </c>
      <c r="AG99" s="9">
        <v>1</v>
      </c>
    </row>
    <row r="100" spans="13:33" ht="45" x14ac:dyDescent="0.25">
      <c r="M100" s="4">
        <v>2</v>
      </c>
      <c r="N100" s="4" t="s">
        <v>194</v>
      </c>
      <c r="O100" s="4" t="s">
        <v>29</v>
      </c>
      <c r="P100" s="4" t="s">
        <v>195</v>
      </c>
      <c r="Q100" s="4" t="s">
        <v>195</v>
      </c>
      <c r="R100" s="3"/>
      <c r="S100" s="3"/>
      <c r="T100" s="4"/>
      <c r="U100" s="4">
        <v>1</v>
      </c>
      <c r="Y100" s="10">
        <v>5</v>
      </c>
      <c r="Z100" s="10" t="s">
        <v>181</v>
      </c>
      <c r="AA100" s="10" t="s">
        <v>131</v>
      </c>
      <c r="AB100" s="12" t="s">
        <v>182</v>
      </c>
      <c r="AC100" s="10" t="s">
        <v>183</v>
      </c>
      <c r="AD100" s="10" t="s">
        <v>169</v>
      </c>
      <c r="AE100" s="10">
        <v>0.180731</v>
      </c>
      <c r="AF100" s="10" t="s">
        <v>165</v>
      </c>
      <c r="AG100" s="10">
        <v>1</v>
      </c>
    </row>
    <row r="101" spans="13:33" x14ac:dyDescent="0.25">
      <c r="M101" s="2">
        <v>3</v>
      </c>
      <c r="N101" s="2" t="s">
        <v>196</v>
      </c>
      <c r="O101" s="2" t="s">
        <v>29</v>
      </c>
      <c r="P101" s="2" t="s">
        <v>197</v>
      </c>
      <c r="Q101" s="2" t="s">
        <v>198</v>
      </c>
      <c r="R101" s="2" t="s">
        <v>101</v>
      </c>
      <c r="S101" s="2">
        <v>7.8740400000000006E-3</v>
      </c>
      <c r="T101" s="2"/>
      <c r="U101" s="2">
        <v>1</v>
      </c>
      <c r="Y101" s="10">
        <v>5</v>
      </c>
      <c r="Z101" s="10" t="s">
        <v>170</v>
      </c>
      <c r="AA101" s="10" t="s">
        <v>29</v>
      </c>
      <c r="AB101" s="10" t="s">
        <v>171</v>
      </c>
      <c r="AC101" s="10" t="s">
        <v>171</v>
      </c>
      <c r="AF101" s="10"/>
      <c r="AG101" s="10">
        <v>2</v>
      </c>
    </row>
    <row r="102" spans="13:33" x14ac:dyDescent="0.25">
      <c r="M102" s="2">
        <v>3</v>
      </c>
      <c r="N102" s="2" t="s">
        <v>199</v>
      </c>
      <c r="O102" s="2" t="s">
        <v>25</v>
      </c>
      <c r="P102" s="2"/>
      <c r="Q102" s="2" t="s">
        <v>200</v>
      </c>
      <c r="R102" s="2" t="s">
        <v>27</v>
      </c>
      <c r="S102" s="2"/>
      <c r="T102" s="2"/>
      <c r="U102" s="2">
        <v>1</v>
      </c>
      <c r="Y102" s="9">
        <v>6</v>
      </c>
      <c r="Z102" s="9" t="s">
        <v>172</v>
      </c>
      <c r="AA102" s="9" t="s">
        <v>29</v>
      </c>
      <c r="AB102" s="9" t="s">
        <v>173</v>
      </c>
      <c r="AC102" s="9" t="s">
        <v>173</v>
      </c>
      <c r="AD102" s="9" t="s">
        <v>101</v>
      </c>
      <c r="AE102" s="9">
        <v>1.4948400000000001E-2</v>
      </c>
      <c r="AF102" s="9"/>
      <c r="AG102" s="9">
        <v>1</v>
      </c>
    </row>
    <row r="103" spans="13:33" ht="30" x14ac:dyDescent="0.25">
      <c r="M103" s="4">
        <v>2</v>
      </c>
      <c r="N103" s="4" t="s">
        <v>201</v>
      </c>
      <c r="O103" s="4" t="s">
        <v>78</v>
      </c>
      <c r="P103" s="6" t="s">
        <v>202</v>
      </c>
      <c r="Q103" s="4" t="s">
        <v>203</v>
      </c>
      <c r="R103" s="4" t="s">
        <v>45</v>
      </c>
      <c r="S103" s="4">
        <v>2.2311399999999999E-2</v>
      </c>
      <c r="T103" s="4"/>
      <c r="U103" s="4">
        <v>1</v>
      </c>
      <c r="Y103" s="9">
        <v>6</v>
      </c>
      <c r="Z103" s="9" t="s">
        <v>174</v>
      </c>
      <c r="AA103" s="9" t="s">
        <v>25</v>
      </c>
      <c r="AB103" s="9"/>
      <c r="AC103" s="9" t="s">
        <v>175</v>
      </c>
      <c r="AD103" s="9" t="s">
        <v>176</v>
      </c>
      <c r="AE103" s="9"/>
      <c r="AF103" s="9"/>
      <c r="AG103" s="9">
        <v>1</v>
      </c>
    </row>
    <row r="104" spans="13:33" ht="30" x14ac:dyDescent="0.25">
      <c r="M104" s="4">
        <v>2</v>
      </c>
      <c r="N104" s="4" t="s">
        <v>204</v>
      </c>
      <c r="O104" s="4" t="s">
        <v>78</v>
      </c>
      <c r="P104" s="6" t="s">
        <v>202</v>
      </c>
      <c r="Q104" s="4" t="s">
        <v>203</v>
      </c>
      <c r="R104" s="4" t="s">
        <v>45</v>
      </c>
      <c r="S104" s="4">
        <v>3.6119799999999999E-3</v>
      </c>
      <c r="T104" s="4"/>
      <c r="U104" s="4">
        <v>1</v>
      </c>
      <c r="Y104" s="10">
        <v>5</v>
      </c>
      <c r="Z104" s="10" t="s">
        <v>177</v>
      </c>
      <c r="AA104" s="10" t="s">
        <v>25</v>
      </c>
      <c r="AB104" s="10"/>
      <c r="AC104" s="10" t="s">
        <v>178</v>
      </c>
      <c r="AD104" s="10" t="s">
        <v>27</v>
      </c>
      <c r="AE104" s="10"/>
      <c r="AF104" s="10"/>
      <c r="AG104" s="10">
        <v>4</v>
      </c>
    </row>
    <row r="105" spans="13:33" x14ac:dyDescent="0.25">
      <c r="M105" s="4">
        <v>2</v>
      </c>
      <c r="N105" s="4" t="s">
        <v>205</v>
      </c>
      <c r="O105" s="4" t="s">
        <v>40</v>
      </c>
      <c r="P105" s="4" t="s">
        <v>206</v>
      </c>
      <c r="Q105" s="4" t="s">
        <v>206</v>
      </c>
      <c r="R105" s="3"/>
      <c r="S105" s="3"/>
      <c r="T105" s="4" t="s">
        <v>19</v>
      </c>
      <c r="U105" s="4">
        <v>1</v>
      </c>
      <c r="Y105" s="9">
        <v>4</v>
      </c>
      <c r="Z105" s="9" t="s">
        <v>184</v>
      </c>
      <c r="AA105" s="9" t="s">
        <v>86</v>
      </c>
      <c r="AB105" s="9" t="s">
        <v>164</v>
      </c>
      <c r="AC105" s="9" t="s">
        <v>185</v>
      </c>
      <c r="AF105" s="9" t="s">
        <v>165</v>
      </c>
      <c r="AG105" s="9">
        <v>1</v>
      </c>
    </row>
    <row r="106" spans="13:33" ht="45" x14ac:dyDescent="0.25">
      <c r="M106" s="2">
        <v>3</v>
      </c>
      <c r="N106" s="2" t="s">
        <v>207</v>
      </c>
      <c r="O106" s="2" t="s">
        <v>40</v>
      </c>
      <c r="P106" s="2" t="s">
        <v>208</v>
      </c>
      <c r="Q106" s="2" t="s">
        <v>144</v>
      </c>
      <c r="R106" s="2" t="s">
        <v>60</v>
      </c>
      <c r="S106" s="2">
        <v>0.330484</v>
      </c>
      <c r="T106" s="2" t="s">
        <v>19</v>
      </c>
      <c r="U106" s="2">
        <v>1</v>
      </c>
      <c r="Y106" s="10">
        <v>5</v>
      </c>
      <c r="Z106" s="10" t="s">
        <v>186</v>
      </c>
      <c r="AA106" s="10" t="s">
        <v>131</v>
      </c>
      <c r="AB106" s="12" t="s">
        <v>182</v>
      </c>
      <c r="AC106" s="10" t="s">
        <v>187</v>
      </c>
      <c r="AD106" s="10" t="s">
        <v>169</v>
      </c>
      <c r="AE106" s="10">
        <v>0.18022199999999999</v>
      </c>
      <c r="AF106" s="10" t="s">
        <v>165</v>
      </c>
      <c r="AG106" s="10">
        <v>1</v>
      </c>
    </row>
    <row r="107" spans="13:33" x14ac:dyDescent="0.25">
      <c r="M107" s="2">
        <v>3</v>
      </c>
      <c r="N107" s="2" t="s">
        <v>49</v>
      </c>
      <c r="O107" s="2" t="s">
        <v>25</v>
      </c>
      <c r="P107" s="2" t="s">
        <v>50</v>
      </c>
      <c r="Q107" s="2" t="s">
        <v>50</v>
      </c>
      <c r="R107" s="2" t="s">
        <v>27</v>
      </c>
      <c r="S107" s="2"/>
      <c r="T107" s="2"/>
      <c r="U107" s="2">
        <v>4</v>
      </c>
      <c r="Y107" s="10">
        <v>5</v>
      </c>
      <c r="Z107" s="10" t="s">
        <v>170</v>
      </c>
      <c r="AA107" s="10" t="s">
        <v>29</v>
      </c>
      <c r="AB107" s="10" t="s">
        <v>171</v>
      </c>
      <c r="AC107" s="10" t="s">
        <v>171</v>
      </c>
      <c r="AF107" s="10"/>
      <c r="AG107" s="10">
        <v>3</v>
      </c>
    </row>
    <row r="108" spans="13:33" x14ac:dyDescent="0.25">
      <c r="M108" s="4">
        <v>2</v>
      </c>
      <c r="N108" s="4" t="s">
        <v>209</v>
      </c>
      <c r="O108" s="4" t="s">
        <v>210</v>
      </c>
      <c r="P108" s="4" t="s">
        <v>211</v>
      </c>
      <c r="Q108" s="4" t="s">
        <v>211</v>
      </c>
      <c r="R108" s="3"/>
      <c r="S108" s="3"/>
      <c r="T108" s="4" t="s">
        <v>19</v>
      </c>
      <c r="U108" s="4">
        <v>1</v>
      </c>
      <c r="Y108" s="9">
        <v>6</v>
      </c>
      <c r="Z108" s="9" t="s">
        <v>172</v>
      </c>
      <c r="AA108" s="9" t="s">
        <v>29</v>
      </c>
      <c r="AB108" s="9" t="s">
        <v>173</v>
      </c>
      <c r="AC108" s="9" t="s">
        <v>173</v>
      </c>
      <c r="AD108" s="9" t="s">
        <v>101</v>
      </c>
      <c r="AE108" s="9">
        <v>1.4948400000000001E-2</v>
      </c>
      <c r="AF108" s="9"/>
      <c r="AG108" s="9">
        <v>1</v>
      </c>
    </row>
    <row r="109" spans="13:33" ht="30" x14ac:dyDescent="0.25">
      <c r="M109" s="2">
        <v>3</v>
      </c>
      <c r="N109" s="2" t="s">
        <v>212</v>
      </c>
      <c r="O109" s="2" t="s">
        <v>86</v>
      </c>
      <c r="P109" s="5" t="s">
        <v>213</v>
      </c>
      <c r="Q109" s="2" t="s">
        <v>22</v>
      </c>
      <c r="R109" s="2" t="s">
        <v>45</v>
      </c>
      <c r="S109" s="2">
        <v>0.27258700000000002</v>
      </c>
      <c r="T109" s="2" t="s">
        <v>19</v>
      </c>
      <c r="U109" s="2">
        <v>1</v>
      </c>
      <c r="Y109" s="9">
        <v>6</v>
      </c>
      <c r="Z109" s="9" t="s">
        <v>174</v>
      </c>
      <c r="AA109" s="9" t="s">
        <v>25</v>
      </c>
      <c r="AB109" s="9"/>
      <c r="AC109" s="9" t="s">
        <v>175</v>
      </c>
      <c r="AD109" s="9" t="s">
        <v>176</v>
      </c>
      <c r="AE109" s="9"/>
      <c r="AF109" s="9"/>
      <c r="AG109" s="9">
        <v>1</v>
      </c>
    </row>
    <row r="110" spans="13:33" x14ac:dyDescent="0.25">
      <c r="M110" s="2">
        <v>3</v>
      </c>
      <c r="N110" s="2" t="s">
        <v>90</v>
      </c>
      <c r="O110" s="2" t="s">
        <v>25</v>
      </c>
      <c r="P110" s="2"/>
      <c r="Q110" s="2" t="s">
        <v>91</v>
      </c>
      <c r="R110" s="2" t="s">
        <v>27</v>
      </c>
      <c r="S110" s="2"/>
      <c r="T110" s="2"/>
      <c r="U110" s="2">
        <v>5</v>
      </c>
      <c r="Y110" s="10">
        <v>5</v>
      </c>
      <c r="Z110" s="10" t="s">
        <v>177</v>
      </c>
      <c r="AA110" s="10" t="s">
        <v>25</v>
      </c>
      <c r="AB110" s="10"/>
      <c r="AC110" s="10" t="s">
        <v>178</v>
      </c>
      <c r="AD110" s="10" t="s">
        <v>27</v>
      </c>
      <c r="AE110" s="10"/>
      <c r="AF110" s="10"/>
      <c r="AG110" s="10">
        <v>6</v>
      </c>
    </row>
    <row r="111" spans="13:33" x14ac:dyDescent="0.25">
      <c r="M111" s="2">
        <v>3</v>
      </c>
      <c r="N111" s="2" t="s">
        <v>56</v>
      </c>
      <c r="O111" s="2" t="s">
        <v>25</v>
      </c>
      <c r="P111" s="2" t="s">
        <v>57</v>
      </c>
      <c r="Q111" s="2" t="s">
        <v>57</v>
      </c>
      <c r="R111" s="2" t="s">
        <v>27</v>
      </c>
      <c r="S111" s="2"/>
      <c r="T111" s="2"/>
      <c r="U111" s="2">
        <v>6</v>
      </c>
      <c r="Y111" s="9">
        <v>4</v>
      </c>
      <c r="Z111" s="9" t="s">
        <v>188</v>
      </c>
      <c r="AA111" s="9" t="s">
        <v>86</v>
      </c>
      <c r="AB111" s="9" t="s">
        <v>164</v>
      </c>
      <c r="AC111" s="9" t="s">
        <v>189</v>
      </c>
      <c r="AF111" s="9" t="s">
        <v>165</v>
      </c>
      <c r="AG111" s="9">
        <v>1</v>
      </c>
    </row>
    <row r="112" spans="13:33" ht="45" x14ac:dyDescent="0.25">
      <c r="M112" s="2">
        <v>3</v>
      </c>
      <c r="N112" s="2" t="s">
        <v>214</v>
      </c>
      <c r="O112" s="2" t="s">
        <v>25</v>
      </c>
      <c r="P112" s="2"/>
      <c r="Q112" s="2" t="s">
        <v>117</v>
      </c>
      <c r="R112" s="2" t="s">
        <v>27</v>
      </c>
      <c r="S112" s="2">
        <v>5.3241800000000004E-3</v>
      </c>
      <c r="T112" s="2"/>
      <c r="U112" s="2">
        <v>12</v>
      </c>
      <c r="Y112" s="10">
        <v>5</v>
      </c>
      <c r="Z112" s="10" t="s">
        <v>190</v>
      </c>
      <c r="AA112" s="10" t="s">
        <v>131</v>
      </c>
      <c r="AB112" s="12" t="s">
        <v>182</v>
      </c>
      <c r="AC112" s="10" t="s">
        <v>168</v>
      </c>
      <c r="AD112" s="10" t="s">
        <v>169</v>
      </c>
      <c r="AE112" s="10">
        <v>0.18013000000000001</v>
      </c>
      <c r="AF112" s="10" t="s">
        <v>165</v>
      </c>
      <c r="AG112" s="10">
        <v>1</v>
      </c>
    </row>
    <row r="113" spans="13:33" x14ac:dyDescent="0.25">
      <c r="M113" s="2">
        <v>3</v>
      </c>
      <c r="N113" s="2" t="s">
        <v>49</v>
      </c>
      <c r="O113" s="2" t="s">
        <v>25</v>
      </c>
      <c r="P113" s="2" t="s">
        <v>50</v>
      </c>
      <c r="Q113" s="2" t="s">
        <v>50</v>
      </c>
      <c r="R113" s="2" t="s">
        <v>27</v>
      </c>
      <c r="S113" s="2"/>
      <c r="T113" s="2"/>
      <c r="U113" s="2">
        <v>17</v>
      </c>
      <c r="Y113" s="10">
        <v>5</v>
      </c>
      <c r="Z113" s="10" t="s">
        <v>170</v>
      </c>
      <c r="AA113" s="10" t="s">
        <v>29</v>
      </c>
      <c r="AB113" s="10" t="s">
        <v>171</v>
      </c>
      <c r="AC113" s="10" t="s">
        <v>171</v>
      </c>
      <c r="AF113" s="10"/>
      <c r="AG113" s="10">
        <v>3</v>
      </c>
    </row>
    <row r="114" spans="13:33" x14ac:dyDescent="0.25">
      <c r="M114" s="2">
        <v>3</v>
      </c>
      <c r="N114" s="2" t="s">
        <v>51</v>
      </c>
      <c r="O114" s="2" t="s">
        <v>25</v>
      </c>
      <c r="P114" s="2" t="s">
        <v>52</v>
      </c>
      <c r="Q114" s="2" t="s">
        <v>52</v>
      </c>
      <c r="R114" s="2" t="s">
        <v>27</v>
      </c>
      <c r="S114" s="2"/>
      <c r="T114" s="2"/>
      <c r="U114" s="2">
        <v>19</v>
      </c>
      <c r="Y114" s="9">
        <v>6</v>
      </c>
      <c r="Z114" s="9" t="s">
        <v>172</v>
      </c>
      <c r="AA114" s="9" t="s">
        <v>29</v>
      </c>
      <c r="AB114" s="9" t="s">
        <v>173</v>
      </c>
      <c r="AC114" s="9" t="s">
        <v>173</v>
      </c>
      <c r="AD114" s="9" t="s">
        <v>101</v>
      </c>
      <c r="AE114" s="9">
        <v>1.4948400000000001E-2</v>
      </c>
      <c r="AF114" s="9"/>
      <c r="AG114" s="9">
        <v>1</v>
      </c>
    </row>
    <row r="115" spans="13:33" x14ac:dyDescent="0.25">
      <c r="M115" s="4">
        <v>2</v>
      </c>
      <c r="N115" s="4" t="s">
        <v>215</v>
      </c>
      <c r="O115" s="4" t="s">
        <v>17</v>
      </c>
      <c r="P115" s="4" t="s">
        <v>18</v>
      </c>
      <c r="Q115" s="4" t="s">
        <v>18</v>
      </c>
      <c r="R115" s="3"/>
      <c r="S115" s="3"/>
      <c r="T115" s="4" t="s">
        <v>19</v>
      </c>
      <c r="U115" s="4">
        <v>1</v>
      </c>
      <c r="Y115" s="9">
        <v>6</v>
      </c>
      <c r="Z115" s="9" t="s">
        <v>174</v>
      </c>
      <c r="AA115" s="9" t="s">
        <v>25</v>
      </c>
      <c r="AB115" s="9"/>
      <c r="AC115" s="9" t="s">
        <v>175</v>
      </c>
      <c r="AD115" s="9" t="s">
        <v>176</v>
      </c>
      <c r="AE115" s="9"/>
      <c r="AF115" s="9"/>
      <c r="AG115" s="9">
        <v>1</v>
      </c>
    </row>
    <row r="116" spans="13:33" x14ac:dyDescent="0.25">
      <c r="M116" s="2">
        <v>3</v>
      </c>
      <c r="N116" s="2" t="s">
        <v>216</v>
      </c>
      <c r="O116" s="2" t="s">
        <v>17</v>
      </c>
      <c r="P116" s="2" t="s">
        <v>21</v>
      </c>
      <c r="Q116" s="2" t="s">
        <v>22</v>
      </c>
      <c r="R116" s="2" t="s">
        <v>23</v>
      </c>
      <c r="S116" s="2">
        <v>6.1641000000000001E-2</v>
      </c>
      <c r="T116" s="2" t="s">
        <v>19</v>
      </c>
      <c r="U116" s="2">
        <v>1</v>
      </c>
      <c r="Y116" s="10">
        <v>5</v>
      </c>
      <c r="Z116" s="10" t="s">
        <v>177</v>
      </c>
      <c r="AA116" s="10" t="s">
        <v>25</v>
      </c>
      <c r="AB116" s="10"/>
      <c r="AC116" s="10" t="s">
        <v>178</v>
      </c>
      <c r="AD116" s="10" t="s">
        <v>27</v>
      </c>
      <c r="AE116" s="10"/>
      <c r="AF116" s="10"/>
      <c r="AG116" s="10">
        <v>6</v>
      </c>
    </row>
    <row r="117" spans="13:33" x14ac:dyDescent="0.25">
      <c r="M117" s="2">
        <v>3</v>
      </c>
      <c r="N117" s="2" t="s">
        <v>24</v>
      </c>
      <c r="O117" s="2" t="s">
        <v>25</v>
      </c>
      <c r="P117" s="2"/>
      <c r="Q117" s="2" t="s">
        <v>26</v>
      </c>
      <c r="R117" s="2" t="s">
        <v>27</v>
      </c>
      <c r="S117" s="2"/>
      <c r="T117" s="2"/>
      <c r="U117" s="2">
        <v>2</v>
      </c>
      <c r="Y117" s="9">
        <v>4</v>
      </c>
      <c r="Z117" s="9" t="s">
        <v>191</v>
      </c>
      <c r="AA117" s="9" t="s">
        <v>54</v>
      </c>
      <c r="AB117" s="9" t="s">
        <v>192</v>
      </c>
      <c r="AC117" s="9" t="s">
        <v>193</v>
      </c>
      <c r="AD117" s="9" t="s">
        <v>101</v>
      </c>
      <c r="AE117" s="9">
        <v>8.2435400000000006E-3</v>
      </c>
      <c r="AF117" s="9"/>
      <c r="AG117" s="9">
        <v>1</v>
      </c>
    </row>
    <row r="118" spans="13:33" x14ac:dyDescent="0.25">
      <c r="M118" s="4">
        <v>2</v>
      </c>
      <c r="N118" s="4" t="s">
        <v>217</v>
      </c>
      <c r="O118" s="4" t="s">
        <v>17</v>
      </c>
      <c r="P118" s="4" t="s">
        <v>133</v>
      </c>
      <c r="Q118" s="4" t="s">
        <v>133</v>
      </c>
      <c r="R118" s="3"/>
      <c r="S118" s="3"/>
      <c r="T118" s="4" t="s">
        <v>218</v>
      </c>
      <c r="U118" s="4">
        <v>1</v>
      </c>
      <c r="Y118" s="9">
        <v>4</v>
      </c>
      <c r="Z118" s="9" t="s">
        <v>194</v>
      </c>
      <c r="AA118" s="9" t="s">
        <v>29</v>
      </c>
      <c r="AB118" s="9" t="s">
        <v>195</v>
      </c>
      <c r="AC118" s="9" t="s">
        <v>195</v>
      </c>
      <c r="AF118" s="9"/>
      <c r="AG118" s="9">
        <v>1</v>
      </c>
    </row>
    <row r="119" spans="13:33" x14ac:dyDescent="0.25">
      <c r="M119" s="2">
        <v>3</v>
      </c>
      <c r="N119" s="2" t="s">
        <v>219</v>
      </c>
      <c r="O119" s="2" t="s">
        <v>17</v>
      </c>
      <c r="P119" s="2" t="s">
        <v>220</v>
      </c>
      <c r="Q119" s="2" t="s">
        <v>22</v>
      </c>
      <c r="R119" s="2" t="s">
        <v>80</v>
      </c>
      <c r="S119" s="2">
        <v>5.99185E-2</v>
      </c>
      <c r="T119" s="2" t="s">
        <v>19</v>
      </c>
      <c r="U119" s="2">
        <v>1</v>
      </c>
      <c r="Y119" s="10">
        <v>5</v>
      </c>
      <c r="Z119" s="10" t="s">
        <v>196</v>
      </c>
      <c r="AA119" s="10" t="s">
        <v>29</v>
      </c>
      <c r="AB119" s="10" t="s">
        <v>197</v>
      </c>
      <c r="AC119" s="10" t="s">
        <v>198</v>
      </c>
      <c r="AD119" s="10" t="s">
        <v>101</v>
      </c>
      <c r="AE119" s="10">
        <v>7.8740400000000006E-3</v>
      </c>
      <c r="AF119" s="10"/>
      <c r="AG119" s="10">
        <v>1</v>
      </c>
    </row>
    <row r="120" spans="13:33" x14ac:dyDescent="0.25">
      <c r="M120" s="2">
        <v>3</v>
      </c>
      <c r="N120" s="2" t="s">
        <v>83</v>
      </c>
      <c r="O120" s="2" t="s">
        <v>25</v>
      </c>
      <c r="P120" s="2" t="s">
        <v>57</v>
      </c>
      <c r="Q120" s="2" t="s">
        <v>57</v>
      </c>
      <c r="R120" s="2" t="s">
        <v>27</v>
      </c>
      <c r="S120" s="2">
        <v>1.78746E-3</v>
      </c>
      <c r="T120" s="2"/>
      <c r="U120" s="2">
        <v>4</v>
      </c>
      <c r="Y120" s="10">
        <v>5</v>
      </c>
      <c r="Z120" s="10" t="s">
        <v>199</v>
      </c>
      <c r="AA120" s="10" t="s">
        <v>25</v>
      </c>
      <c r="AB120" s="10"/>
      <c r="AC120" s="10" t="s">
        <v>200</v>
      </c>
      <c r="AD120" s="10" t="s">
        <v>27</v>
      </c>
      <c r="AE120" s="10"/>
      <c r="AF120" s="10"/>
      <c r="AG120" s="10">
        <v>1</v>
      </c>
    </row>
    <row r="121" spans="13:33" ht="30" x14ac:dyDescent="0.25">
      <c r="M121" s="4">
        <v>2</v>
      </c>
      <c r="N121" s="4" t="s">
        <v>221</v>
      </c>
      <c r="O121" s="4" t="s">
        <v>17</v>
      </c>
      <c r="P121" s="6" t="s">
        <v>132</v>
      </c>
      <c r="Q121" s="4" t="s">
        <v>133</v>
      </c>
      <c r="R121" s="3"/>
      <c r="S121" s="3"/>
      <c r="T121" s="4" t="s">
        <v>19</v>
      </c>
      <c r="U121" s="4">
        <v>1</v>
      </c>
      <c r="Y121" s="9">
        <v>4</v>
      </c>
      <c r="Z121" s="9" t="s">
        <v>201</v>
      </c>
      <c r="AA121" s="9" t="s">
        <v>78</v>
      </c>
      <c r="AB121" s="11" t="s">
        <v>202</v>
      </c>
      <c r="AC121" s="9" t="s">
        <v>203</v>
      </c>
      <c r="AD121" s="9" t="s">
        <v>45</v>
      </c>
      <c r="AE121" s="9">
        <v>2.2311399999999999E-2</v>
      </c>
      <c r="AF121" s="9"/>
      <c r="AG121" s="9">
        <v>1</v>
      </c>
    </row>
    <row r="122" spans="13:33" ht="30" x14ac:dyDescent="0.25">
      <c r="M122" s="2">
        <v>3</v>
      </c>
      <c r="N122" s="2" t="s">
        <v>222</v>
      </c>
      <c r="O122" s="2" t="s">
        <v>17</v>
      </c>
      <c r="P122" s="2" t="s">
        <v>22</v>
      </c>
      <c r="Q122" s="2" t="s">
        <v>22</v>
      </c>
      <c r="R122" s="2" t="s">
        <v>80</v>
      </c>
      <c r="S122" s="2">
        <v>0.23957899999999999</v>
      </c>
      <c r="T122" s="2" t="s">
        <v>223</v>
      </c>
      <c r="U122" s="2">
        <v>1</v>
      </c>
      <c r="Y122" s="9">
        <v>4</v>
      </c>
      <c r="Z122" s="9" t="s">
        <v>204</v>
      </c>
      <c r="AA122" s="9" t="s">
        <v>78</v>
      </c>
      <c r="AB122" s="11" t="s">
        <v>202</v>
      </c>
      <c r="AC122" s="9" t="s">
        <v>203</v>
      </c>
      <c r="AD122" s="9" t="s">
        <v>45</v>
      </c>
      <c r="AE122" s="9">
        <v>3.6119799999999999E-3</v>
      </c>
      <c r="AF122" s="9"/>
      <c r="AG122" s="9">
        <v>1</v>
      </c>
    </row>
    <row r="123" spans="13:33" x14ac:dyDescent="0.25">
      <c r="M123" s="2">
        <v>3</v>
      </c>
      <c r="N123" s="2" t="s">
        <v>24</v>
      </c>
      <c r="O123" s="2" t="s">
        <v>25</v>
      </c>
      <c r="P123" s="2"/>
      <c r="Q123" s="2" t="s">
        <v>26</v>
      </c>
      <c r="R123" s="2" t="s">
        <v>27</v>
      </c>
      <c r="S123" s="2"/>
      <c r="T123" s="2"/>
      <c r="U123" s="2">
        <v>4</v>
      </c>
      <c r="Y123" s="9">
        <v>4</v>
      </c>
      <c r="Z123" s="9" t="s">
        <v>205</v>
      </c>
      <c r="AA123" s="9" t="s">
        <v>40</v>
      </c>
      <c r="AB123" s="9" t="s">
        <v>206</v>
      </c>
      <c r="AC123" s="9" t="s">
        <v>206</v>
      </c>
      <c r="AF123" s="9" t="s">
        <v>19</v>
      </c>
      <c r="AG123" s="9">
        <v>1</v>
      </c>
    </row>
    <row r="124" spans="13:33" x14ac:dyDescent="0.25">
      <c r="M124" s="4">
        <v>2</v>
      </c>
      <c r="N124" s="4" t="s">
        <v>224</v>
      </c>
      <c r="O124" s="4" t="s">
        <v>25</v>
      </c>
      <c r="P124" s="4"/>
      <c r="Q124" s="4" t="s">
        <v>9</v>
      </c>
      <c r="R124" s="4" t="s">
        <v>27</v>
      </c>
      <c r="S124" s="4"/>
      <c r="T124" s="4"/>
      <c r="U124" s="4">
        <v>2</v>
      </c>
      <c r="Y124" s="10">
        <v>5</v>
      </c>
      <c r="Z124" s="10" t="s">
        <v>207</v>
      </c>
      <c r="AA124" s="10" t="s">
        <v>40</v>
      </c>
      <c r="AB124" s="10" t="s">
        <v>208</v>
      </c>
      <c r="AC124" s="10" t="s">
        <v>144</v>
      </c>
      <c r="AD124" s="10" t="s">
        <v>60</v>
      </c>
      <c r="AE124" s="10">
        <v>0.330484</v>
      </c>
      <c r="AF124" s="10" t="s">
        <v>19</v>
      </c>
      <c r="AG124" s="10">
        <v>1</v>
      </c>
    </row>
    <row r="125" spans="13:33" x14ac:dyDescent="0.25">
      <c r="M125" s="4">
        <v>2</v>
      </c>
      <c r="N125" s="4" t="s">
        <v>225</v>
      </c>
      <c r="O125" s="4" t="s">
        <v>25</v>
      </c>
      <c r="P125" s="4"/>
      <c r="Q125" s="4" t="s">
        <v>9</v>
      </c>
      <c r="R125" s="4" t="s">
        <v>27</v>
      </c>
      <c r="S125" s="4"/>
      <c r="T125" s="4"/>
      <c r="U125" s="4">
        <v>2</v>
      </c>
      <c r="Y125" s="10">
        <v>5</v>
      </c>
      <c r="Z125" s="10" t="s">
        <v>49</v>
      </c>
      <c r="AA125" s="10" t="s">
        <v>25</v>
      </c>
      <c r="AB125" s="10" t="s">
        <v>50</v>
      </c>
      <c r="AC125" s="10" t="s">
        <v>50</v>
      </c>
      <c r="AD125" s="10" t="s">
        <v>27</v>
      </c>
      <c r="AE125" s="10"/>
      <c r="AF125" s="10"/>
      <c r="AG125" s="10">
        <v>4</v>
      </c>
    </row>
    <row r="126" spans="13:33" x14ac:dyDescent="0.25">
      <c r="M126" s="4">
        <v>2</v>
      </c>
      <c r="N126" s="4" t="s">
        <v>226</v>
      </c>
      <c r="O126" s="4" t="s">
        <v>227</v>
      </c>
      <c r="P126" s="4" t="s">
        <v>228</v>
      </c>
      <c r="Q126" s="4" t="s">
        <v>111</v>
      </c>
      <c r="R126" s="4" t="s">
        <v>101</v>
      </c>
      <c r="S126" s="4">
        <v>0.113486</v>
      </c>
      <c r="T126" s="4" t="s">
        <v>102</v>
      </c>
      <c r="U126" s="4">
        <v>2</v>
      </c>
      <c r="Y126" s="9">
        <v>4</v>
      </c>
      <c r="Z126" s="9" t="s">
        <v>209</v>
      </c>
      <c r="AA126" s="9" t="s">
        <v>210</v>
      </c>
      <c r="AB126" s="9" t="s">
        <v>211</v>
      </c>
      <c r="AC126" s="9" t="s">
        <v>211</v>
      </c>
      <c r="AF126" s="9" t="s">
        <v>19</v>
      </c>
      <c r="AG126" s="9">
        <v>1</v>
      </c>
    </row>
    <row r="127" spans="13:33" ht="30" x14ac:dyDescent="0.25">
      <c r="M127" s="4">
        <v>2</v>
      </c>
      <c r="N127" s="4" t="s">
        <v>229</v>
      </c>
      <c r="O127" s="4" t="s">
        <v>25</v>
      </c>
      <c r="P127" s="4" t="s">
        <v>230</v>
      </c>
      <c r="Q127" s="4" t="s">
        <v>230</v>
      </c>
      <c r="R127" s="4" t="s">
        <v>169</v>
      </c>
      <c r="S127" s="4">
        <v>2.6893400000000001E-2</v>
      </c>
      <c r="T127" s="4" t="s">
        <v>165</v>
      </c>
      <c r="U127" s="4">
        <v>2</v>
      </c>
      <c r="Y127" s="10">
        <v>5</v>
      </c>
      <c r="Z127" s="10" t="s">
        <v>212</v>
      </c>
      <c r="AA127" s="10" t="s">
        <v>86</v>
      </c>
      <c r="AB127" s="12" t="s">
        <v>213</v>
      </c>
      <c r="AC127" s="10" t="s">
        <v>22</v>
      </c>
      <c r="AD127" s="10" t="s">
        <v>45</v>
      </c>
      <c r="AE127" s="10">
        <v>0.27258700000000002</v>
      </c>
      <c r="AF127" s="10" t="s">
        <v>19</v>
      </c>
      <c r="AG127" s="10">
        <v>1</v>
      </c>
    </row>
    <row r="128" spans="13:33" x14ac:dyDescent="0.25">
      <c r="M128" s="4">
        <v>2</v>
      </c>
      <c r="N128" s="4" t="s">
        <v>231</v>
      </c>
      <c r="O128" s="4" t="s">
        <v>29</v>
      </c>
      <c r="P128" s="4" t="s">
        <v>232</v>
      </c>
      <c r="Q128" s="4" t="s">
        <v>232</v>
      </c>
      <c r="R128" s="3"/>
      <c r="S128" s="3"/>
      <c r="T128" s="4" t="s">
        <v>218</v>
      </c>
      <c r="U128" s="4">
        <v>2</v>
      </c>
      <c r="Y128" s="10">
        <v>5</v>
      </c>
      <c r="Z128" s="10" t="s">
        <v>90</v>
      </c>
      <c r="AA128" s="10" t="s">
        <v>25</v>
      </c>
      <c r="AB128" s="10"/>
      <c r="AC128" s="10" t="s">
        <v>91</v>
      </c>
      <c r="AD128" s="10" t="s">
        <v>27</v>
      </c>
      <c r="AE128" s="10"/>
      <c r="AF128" s="10"/>
      <c r="AG128" s="10">
        <v>5</v>
      </c>
    </row>
    <row r="129" spans="2:33" x14ac:dyDescent="0.25">
      <c r="M129" s="2">
        <v>3</v>
      </c>
      <c r="N129" s="2" t="s">
        <v>233</v>
      </c>
      <c r="O129" s="2" t="s">
        <v>25</v>
      </c>
      <c r="P129" s="2" t="s">
        <v>234</v>
      </c>
      <c r="Q129" s="2" t="s">
        <v>235</v>
      </c>
      <c r="R129" s="2" t="s">
        <v>236</v>
      </c>
      <c r="S129" s="2">
        <v>8.4709199999999998E-3</v>
      </c>
      <c r="T129" s="2"/>
      <c r="U129" s="2">
        <v>1</v>
      </c>
      <c r="Y129" s="10">
        <v>5</v>
      </c>
      <c r="Z129" s="10" t="s">
        <v>56</v>
      </c>
      <c r="AA129" s="10" t="s">
        <v>25</v>
      </c>
      <c r="AB129" s="10" t="s">
        <v>57</v>
      </c>
      <c r="AC129" s="10" t="s">
        <v>57</v>
      </c>
      <c r="AD129" s="10" t="s">
        <v>27</v>
      </c>
      <c r="AE129" s="10"/>
      <c r="AF129" s="10"/>
      <c r="AG129" s="10">
        <v>6</v>
      </c>
    </row>
    <row r="130" spans="2:33" x14ac:dyDescent="0.25">
      <c r="M130" s="2">
        <v>3</v>
      </c>
      <c r="N130" s="2" t="s">
        <v>237</v>
      </c>
      <c r="O130" s="2" t="s">
        <v>25</v>
      </c>
      <c r="P130" s="2" t="s">
        <v>235</v>
      </c>
      <c r="Q130" s="2" t="s">
        <v>235</v>
      </c>
      <c r="R130" s="2" t="s">
        <v>236</v>
      </c>
      <c r="S130" s="2">
        <v>2.1868200000000001E-2</v>
      </c>
      <c r="T130" s="2"/>
      <c r="U130" s="2">
        <v>1</v>
      </c>
      <c r="Y130" s="10">
        <v>5</v>
      </c>
      <c r="Z130" s="10" t="s">
        <v>214</v>
      </c>
      <c r="AA130" s="10" t="s">
        <v>25</v>
      </c>
      <c r="AB130" s="10"/>
      <c r="AC130" s="10" t="s">
        <v>117</v>
      </c>
      <c r="AD130" s="10" t="s">
        <v>27</v>
      </c>
      <c r="AE130" s="10">
        <v>5.3241800000000004E-3</v>
      </c>
      <c r="AF130" s="10"/>
      <c r="AG130" s="10">
        <v>12</v>
      </c>
    </row>
    <row r="131" spans="2:33" x14ac:dyDescent="0.25">
      <c r="M131" s="2">
        <v>3</v>
      </c>
      <c r="N131" s="2" t="s">
        <v>238</v>
      </c>
      <c r="O131" s="2" t="s">
        <v>35</v>
      </c>
      <c r="P131" s="2" t="s">
        <v>239</v>
      </c>
      <c r="Q131" s="2" t="s">
        <v>239</v>
      </c>
      <c r="R131" s="2" t="s">
        <v>101</v>
      </c>
      <c r="S131" s="2">
        <v>1.32763E-2</v>
      </c>
      <c r="T131" s="2" t="s">
        <v>150</v>
      </c>
      <c r="U131" s="2">
        <v>1</v>
      </c>
      <c r="Y131" s="10">
        <v>5</v>
      </c>
      <c r="Z131" s="10" t="s">
        <v>49</v>
      </c>
      <c r="AA131" s="10" t="s">
        <v>25</v>
      </c>
      <c r="AB131" s="10" t="s">
        <v>50</v>
      </c>
      <c r="AC131" s="10" t="s">
        <v>50</v>
      </c>
      <c r="AD131" s="10" t="s">
        <v>27</v>
      </c>
      <c r="AE131" s="10"/>
      <c r="AF131" s="10"/>
      <c r="AG131" s="10">
        <v>17</v>
      </c>
    </row>
    <row r="132" spans="2:33" x14ac:dyDescent="0.25">
      <c r="M132" s="2">
        <v>3</v>
      </c>
      <c r="N132" s="2" t="s">
        <v>240</v>
      </c>
      <c r="O132" s="2" t="s">
        <v>25</v>
      </c>
      <c r="P132" s="2"/>
      <c r="Q132" s="2" t="s">
        <v>178</v>
      </c>
      <c r="R132" s="2" t="s">
        <v>27</v>
      </c>
      <c r="S132" s="2"/>
      <c r="T132" s="2"/>
      <c r="U132" s="2">
        <v>2</v>
      </c>
      <c r="Y132" s="10">
        <v>5</v>
      </c>
      <c r="Z132" s="10" t="s">
        <v>51</v>
      </c>
      <c r="AA132" s="10" t="s">
        <v>25</v>
      </c>
      <c r="AB132" s="10" t="s">
        <v>52</v>
      </c>
      <c r="AC132" s="10" t="s">
        <v>52</v>
      </c>
      <c r="AD132" s="10" t="s">
        <v>27</v>
      </c>
      <c r="AE132" s="10"/>
      <c r="AF132" s="10"/>
      <c r="AG132" s="10">
        <v>19</v>
      </c>
    </row>
    <row r="133" spans="2:33" x14ac:dyDescent="0.25">
      <c r="B133">
        <v>1</v>
      </c>
      <c r="C133" t="s">
        <v>233</v>
      </c>
      <c r="D133" t="s">
        <v>235</v>
      </c>
      <c r="M133" s="2">
        <v>3</v>
      </c>
      <c r="N133" s="2" t="s">
        <v>241</v>
      </c>
      <c r="O133" s="2" t="s">
        <v>25</v>
      </c>
      <c r="P133" s="2"/>
      <c r="Q133" s="2" t="s">
        <v>178</v>
      </c>
      <c r="R133" s="2" t="s">
        <v>27</v>
      </c>
      <c r="S133" s="2"/>
      <c r="T133" s="2"/>
      <c r="U133" s="2">
        <v>2</v>
      </c>
      <c r="Y133" s="9">
        <v>4</v>
      </c>
      <c r="Z133" s="9" t="s">
        <v>215</v>
      </c>
      <c r="AA133" s="9" t="s">
        <v>17</v>
      </c>
      <c r="AB133" s="9" t="s">
        <v>18</v>
      </c>
      <c r="AC133" s="9" t="s">
        <v>18</v>
      </c>
      <c r="AF133" s="9" t="s">
        <v>19</v>
      </c>
      <c r="AG133" s="9">
        <v>1</v>
      </c>
    </row>
    <row r="134" spans="2:33" x14ac:dyDescent="0.25">
      <c r="B134">
        <v>1</v>
      </c>
      <c r="C134" t="s">
        <v>237</v>
      </c>
      <c r="D134" t="s">
        <v>235</v>
      </c>
      <c r="M134" s="4">
        <v>2</v>
      </c>
      <c r="N134" s="4" t="s">
        <v>242</v>
      </c>
      <c r="O134" s="4" t="s">
        <v>25</v>
      </c>
      <c r="P134" s="4" t="s">
        <v>230</v>
      </c>
      <c r="Q134" s="4" t="s">
        <v>230</v>
      </c>
      <c r="R134" s="4" t="s">
        <v>169</v>
      </c>
      <c r="S134" s="4">
        <v>1.6781399999999998E-2</v>
      </c>
      <c r="T134" s="4" t="s">
        <v>165</v>
      </c>
      <c r="U134" s="4">
        <v>2</v>
      </c>
      <c r="Y134" s="10">
        <v>5</v>
      </c>
      <c r="Z134" s="10" t="s">
        <v>216</v>
      </c>
      <c r="AA134" s="10" t="s">
        <v>17</v>
      </c>
      <c r="AB134" s="10" t="s">
        <v>21</v>
      </c>
      <c r="AC134" s="10" t="s">
        <v>22</v>
      </c>
      <c r="AD134" s="10" t="s">
        <v>23</v>
      </c>
      <c r="AE134" s="10">
        <v>6.1641000000000001E-2</v>
      </c>
      <c r="AF134" s="10" t="s">
        <v>19</v>
      </c>
      <c r="AG134" s="10">
        <v>1</v>
      </c>
    </row>
    <row r="135" spans="2:33" x14ac:dyDescent="0.25">
      <c r="B135">
        <v>1</v>
      </c>
      <c r="C135" t="s">
        <v>238</v>
      </c>
      <c r="D135" t="s">
        <v>239</v>
      </c>
      <c r="M135" s="4">
        <v>2</v>
      </c>
      <c r="N135" s="4" t="s">
        <v>241</v>
      </c>
      <c r="O135" s="4" t="s">
        <v>25</v>
      </c>
      <c r="P135" s="4"/>
      <c r="Q135" s="4" t="s">
        <v>178</v>
      </c>
      <c r="R135" s="4" t="s">
        <v>27</v>
      </c>
      <c r="S135" s="4"/>
      <c r="T135" s="4"/>
      <c r="U135" s="4">
        <v>3</v>
      </c>
      <c r="Y135" s="10">
        <v>5</v>
      </c>
      <c r="Z135" s="10" t="s">
        <v>24</v>
      </c>
      <c r="AA135" s="10" t="s">
        <v>25</v>
      </c>
      <c r="AB135" s="10"/>
      <c r="AC135" s="10" t="s">
        <v>26</v>
      </c>
      <c r="AD135" s="10" t="s">
        <v>27</v>
      </c>
      <c r="AE135" s="10"/>
      <c r="AF135" s="10"/>
      <c r="AG135" s="10">
        <v>2</v>
      </c>
    </row>
    <row r="136" spans="2:33" x14ac:dyDescent="0.25">
      <c r="B136">
        <v>2</v>
      </c>
      <c r="C136" t="s">
        <v>240</v>
      </c>
      <c r="D136" t="s">
        <v>178</v>
      </c>
      <c r="M136" s="4">
        <v>2</v>
      </c>
      <c r="N136" s="4" t="s">
        <v>6</v>
      </c>
      <c r="O136" s="4" t="s">
        <v>35</v>
      </c>
      <c r="P136" s="4"/>
      <c r="Q136" s="4" t="s">
        <v>7</v>
      </c>
      <c r="R136" s="4" t="s">
        <v>27</v>
      </c>
      <c r="S136" s="4"/>
      <c r="T136" s="4"/>
      <c r="U136" s="4">
        <v>4</v>
      </c>
      <c r="Y136" s="9">
        <v>4</v>
      </c>
      <c r="Z136" s="9" t="s">
        <v>217</v>
      </c>
      <c r="AA136" s="9" t="s">
        <v>17</v>
      </c>
      <c r="AB136" s="9" t="s">
        <v>133</v>
      </c>
      <c r="AC136" s="9" t="s">
        <v>133</v>
      </c>
      <c r="AF136" s="9" t="s">
        <v>218</v>
      </c>
      <c r="AG136" s="9">
        <v>1</v>
      </c>
    </row>
    <row r="137" spans="2:33" x14ac:dyDescent="0.25">
      <c r="B137">
        <v>2</v>
      </c>
      <c r="C137" t="s">
        <v>241</v>
      </c>
      <c r="D137" t="s">
        <v>178</v>
      </c>
      <c r="M137" s="4">
        <v>2</v>
      </c>
      <c r="N137" s="4" t="s">
        <v>243</v>
      </c>
      <c r="O137" s="4" t="s">
        <v>227</v>
      </c>
      <c r="P137" s="4" t="s">
        <v>244</v>
      </c>
      <c r="Q137" s="4" t="s">
        <v>244</v>
      </c>
      <c r="R137" s="4" t="s">
        <v>101</v>
      </c>
      <c r="S137" s="4">
        <v>2.2644399999999999E-2</v>
      </c>
      <c r="T137" s="4" t="s">
        <v>102</v>
      </c>
      <c r="U137" s="4">
        <v>4</v>
      </c>
      <c r="Y137" s="10">
        <v>5</v>
      </c>
      <c r="Z137" s="10" t="s">
        <v>219</v>
      </c>
      <c r="AA137" s="10" t="s">
        <v>17</v>
      </c>
      <c r="AB137" s="10" t="s">
        <v>220</v>
      </c>
      <c r="AC137" s="10" t="s">
        <v>22</v>
      </c>
      <c r="AD137" s="10" t="s">
        <v>80</v>
      </c>
      <c r="AE137" s="10">
        <v>5.99185E-2</v>
      </c>
      <c r="AF137" s="10" t="s">
        <v>19</v>
      </c>
      <c r="AG137" s="10">
        <v>1</v>
      </c>
    </row>
    <row r="138" spans="2:33" x14ac:dyDescent="0.25">
      <c r="M138" s="4">
        <v>2</v>
      </c>
      <c r="N138" s="4" t="s">
        <v>245</v>
      </c>
      <c r="O138" s="4" t="s">
        <v>35</v>
      </c>
      <c r="P138" s="4" t="s">
        <v>246</v>
      </c>
      <c r="Q138" s="4" t="s">
        <v>246</v>
      </c>
      <c r="R138" s="3"/>
      <c r="S138" s="3"/>
      <c r="T138" s="4"/>
      <c r="U138" s="4">
        <v>4</v>
      </c>
      <c r="Y138" s="10">
        <v>5</v>
      </c>
      <c r="Z138" s="10" t="s">
        <v>83</v>
      </c>
      <c r="AA138" s="10" t="s">
        <v>25</v>
      </c>
      <c r="AB138" s="10" t="s">
        <v>57</v>
      </c>
      <c r="AC138" s="10" t="s">
        <v>57</v>
      </c>
      <c r="AD138" s="10" t="s">
        <v>27</v>
      </c>
      <c r="AE138" s="10">
        <v>1.78746E-3</v>
      </c>
      <c r="AF138" s="10"/>
      <c r="AG138" s="10">
        <v>4</v>
      </c>
    </row>
    <row r="139" spans="2:33" ht="30" x14ac:dyDescent="0.25">
      <c r="M139" s="2">
        <v>3</v>
      </c>
      <c r="N139" s="2" t="s">
        <v>247</v>
      </c>
      <c r="O139" s="2" t="s">
        <v>35</v>
      </c>
      <c r="P139" s="2" t="s">
        <v>198</v>
      </c>
      <c r="Q139" s="2" t="s">
        <v>198</v>
      </c>
      <c r="R139" s="2" t="s">
        <v>101</v>
      </c>
      <c r="S139" s="2">
        <v>7.7510699999999997E-3</v>
      </c>
      <c r="T139" s="2"/>
      <c r="U139" s="2">
        <v>1</v>
      </c>
      <c r="Y139" s="9">
        <v>4</v>
      </c>
      <c r="Z139" s="9" t="s">
        <v>221</v>
      </c>
      <c r="AA139" s="9" t="s">
        <v>17</v>
      </c>
      <c r="AB139" s="11" t="s">
        <v>132</v>
      </c>
      <c r="AC139" s="9" t="s">
        <v>133</v>
      </c>
      <c r="AF139" s="9" t="s">
        <v>19</v>
      </c>
      <c r="AG139" s="9">
        <v>1</v>
      </c>
    </row>
    <row r="140" spans="2:33" x14ac:dyDescent="0.25">
      <c r="M140" s="2">
        <v>3</v>
      </c>
      <c r="N140" s="2" t="s">
        <v>199</v>
      </c>
      <c r="O140" s="2" t="s">
        <v>25</v>
      </c>
      <c r="P140" s="2"/>
      <c r="Q140" s="2" t="s">
        <v>200</v>
      </c>
      <c r="R140" s="2" t="s">
        <v>27</v>
      </c>
      <c r="S140" s="2"/>
      <c r="T140" s="2"/>
      <c r="U140" s="2">
        <v>1</v>
      </c>
      <c r="Y140" s="10">
        <v>5</v>
      </c>
      <c r="Z140" s="10" t="s">
        <v>222</v>
      </c>
      <c r="AA140" s="10" t="s">
        <v>17</v>
      </c>
      <c r="AB140" s="10" t="s">
        <v>22</v>
      </c>
      <c r="AC140" s="10" t="s">
        <v>22</v>
      </c>
      <c r="AD140" s="10" t="s">
        <v>80</v>
      </c>
      <c r="AE140" s="10">
        <v>0.23957899999999999</v>
      </c>
      <c r="AF140" s="10" t="s">
        <v>223</v>
      </c>
      <c r="AG140" s="10">
        <v>1</v>
      </c>
    </row>
    <row r="141" spans="2:33" x14ac:dyDescent="0.25">
      <c r="M141" s="4">
        <v>2</v>
      </c>
      <c r="N141" s="4" t="s">
        <v>248</v>
      </c>
      <c r="O141" s="4" t="s">
        <v>35</v>
      </c>
      <c r="P141" s="4"/>
      <c r="Q141" s="4" t="s">
        <v>7</v>
      </c>
      <c r="R141" s="4" t="s">
        <v>27</v>
      </c>
      <c r="S141" s="4">
        <v>1.29429E-3</v>
      </c>
      <c r="T141" s="4"/>
      <c r="U141" s="4">
        <v>5</v>
      </c>
      <c r="Y141" s="10">
        <v>5</v>
      </c>
      <c r="Z141" s="10" t="s">
        <v>24</v>
      </c>
      <c r="AA141" s="10" t="s">
        <v>25</v>
      </c>
      <c r="AB141" s="10"/>
      <c r="AC141" s="10" t="s">
        <v>26</v>
      </c>
      <c r="AD141" s="10" t="s">
        <v>27</v>
      </c>
      <c r="AE141" s="10"/>
      <c r="AF141" s="10"/>
      <c r="AG141" s="10">
        <v>4</v>
      </c>
    </row>
    <row r="142" spans="2:33" x14ac:dyDescent="0.25">
      <c r="M142" s="4">
        <v>2</v>
      </c>
      <c r="N142" s="4" t="s">
        <v>10</v>
      </c>
      <c r="O142" s="4" t="s">
        <v>25</v>
      </c>
      <c r="P142" s="4"/>
      <c r="Q142" s="4" t="s">
        <v>9</v>
      </c>
      <c r="R142" s="4" t="s">
        <v>27</v>
      </c>
      <c r="S142" s="4"/>
      <c r="T142" s="4"/>
      <c r="U142" s="4">
        <v>5</v>
      </c>
      <c r="Y142" s="9">
        <v>4</v>
      </c>
      <c r="Z142" s="9" t="s">
        <v>224</v>
      </c>
      <c r="AA142" s="9" t="s">
        <v>25</v>
      </c>
      <c r="AB142" s="9"/>
      <c r="AC142" s="9" t="s">
        <v>9</v>
      </c>
      <c r="AD142" s="9" t="s">
        <v>27</v>
      </c>
      <c r="AE142" s="9"/>
      <c r="AF142" s="9"/>
      <c r="AG142" s="9">
        <v>2</v>
      </c>
    </row>
    <row r="143" spans="2:33" x14ac:dyDescent="0.25">
      <c r="M143" s="4">
        <v>2</v>
      </c>
      <c r="N143" s="4" t="s">
        <v>249</v>
      </c>
      <c r="O143" s="4" t="s">
        <v>25</v>
      </c>
      <c r="P143" s="4"/>
      <c r="Q143" s="4" t="s">
        <v>198</v>
      </c>
      <c r="R143" s="4" t="s">
        <v>101</v>
      </c>
      <c r="S143" s="4">
        <v>4.3531100000000003E-3</v>
      </c>
      <c r="T143" s="4" t="s">
        <v>250</v>
      </c>
      <c r="U143" s="4">
        <v>6</v>
      </c>
      <c r="Y143" s="9">
        <v>4</v>
      </c>
      <c r="Z143" s="9" t="s">
        <v>225</v>
      </c>
      <c r="AA143" s="9" t="s">
        <v>25</v>
      </c>
      <c r="AB143" s="9"/>
      <c r="AC143" s="9" t="s">
        <v>9</v>
      </c>
      <c r="AD143" s="9" t="s">
        <v>27</v>
      </c>
      <c r="AE143" s="9"/>
      <c r="AF143" s="9"/>
      <c r="AG143" s="9">
        <v>2</v>
      </c>
    </row>
    <row r="144" spans="2:33" ht="90" x14ac:dyDescent="0.25">
      <c r="M144" s="4">
        <v>2</v>
      </c>
      <c r="N144" s="4" t="s">
        <v>251</v>
      </c>
      <c r="O144" s="4" t="s">
        <v>78</v>
      </c>
      <c r="P144" s="6" t="s">
        <v>252</v>
      </c>
      <c r="Q144" s="4" t="s">
        <v>111</v>
      </c>
      <c r="R144" s="4" t="s">
        <v>101</v>
      </c>
      <c r="S144" s="4">
        <v>4.8415899999999998E-3</v>
      </c>
      <c r="T144" s="4" t="s">
        <v>150</v>
      </c>
      <c r="U144" s="4">
        <v>6</v>
      </c>
      <c r="Y144" s="9">
        <v>4</v>
      </c>
      <c r="Z144" s="9" t="s">
        <v>226</v>
      </c>
      <c r="AA144" s="9" t="s">
        <v>227</v>
      </c>
      <c r="AB144" s="9" t="s">
        <v>228</v>
      </c>
      <c r="AC144" s="9" t="s">
        <v>111</v>
      </c>
      <c r="AD144" s="9" t="s">
        <v>101</v>
      </c>
      <c r="AE144" s="9">
        <v>0.113486</v>
      </c>
      <c r="AF144" s="9" t="s">
        <v>102</v>
      </c>
      <c r="AG144" s="9">
        <v>2</v>
      </c>
    </row>
    <row r="145" spans="13:33" x14ac:dyDescent="0.25">
      <c r="M145" s="4">
        <v>2</v>
      </c>
      <c r="N145" s="4" t="s">
        <v>253</v>
      </c>
      <c r="O145" s="4" t="s">
        <v>25</v>
      </c>
      <c r="P145" s="4" t="s">
        <v>254</v>
      </c>
      <c r="Q145" s="4" t="s">
        <v>254</v>
      </c>
      <c r="R145" s="4" t="s">
        <v>27</v>
      </c>
      <c r="S145" s="4"/>
      <c r="T145" s="4"/>
      <c r="U145" s="4">
        <v>8</v>
      </c>
      <c r="Y145" s="9">
        <v>4</v>
      </c>
      <c r="Z145" s="9" t="s">
        <v>229</v>
      </c>
      <c r="AA145" s="9" t="s">
        <v>25</v>
      </c>
      <c r="AB145" s="9" t="s">
        <v>230</v>
      </c>
      <c r="AC145" s="9" t="s">
        <v>230</v>
      </c>
      <c r="AD145" s="9" t="s">
        <v>169</v>
      </c>
      <c r="AE145" s="9">
        <v>2.6893400000000001E-2</v>
      </c>
      <c r="AF145" s="9" t="s">
        <v>165</v>
      </c>
      <c r="AG145" s="9">
        <v>2</v>
      </c>
    </row>
    <row r="146" spans="13:33" x14ac:dyDescent="0.25">
      <c r="M146" s="4">
        <v>2</v>
      </c>
      <c r="N146" s="4" t="s">
        <v>255</v>
      </c>
      <c r="O146" s="4" t="s">
        <v>25</v>
      </c>
      <c r="P146" s="4"/>
      <c r="Q146" s="4" t="s">
        <v>256</v>
      </c>
      <c r="R146" s="4" t="s">
        <v>27</v>
      </c>
      <c r="S146" s="4"/>
      <c r="T146" s="4"/>
      <c r="U146" s="4">
        <v>8</v>
      </c>
      <c r="Y146" s="9">
        <v>4</v>
      </c>
      <c r="Z146" s="9" t="s">
        <v>231</v>
      </c>
      <c r="AA146" s="9" t="s">
        <v>29</v>
      </c>
      <c r="AB146" s="9" t="s">
        <v>232</v>
      </c>
      <c r="AC146" s="9" t="s">
        <v>232</v>
      </c>
      <c r="AF146" s="9" t="s">
        <v>218</v>
      </c>
      <c r="AG146" s="9">
        <v>2</v>
      </c>
    </row>
    <row r="147" spans="13:33" x14ac:dyDescent="0.25">
      <c r="M147" s="4">
        <v>2</v>
      </c>
      <c r="N147" s="4" t="s">
        <v>257</v>
      </c>
      <c r="O147" s="4" t="s">
        <v>25</v>
      </c>
      <c r="P147" s="4"/>
      <c r="Q147" s="4" t="s">
        <v>7</v>
      </c>
      <c r="R147" s="4" t="s">
        <v>27</v>
      </c>
      <c r="S147" s="4"/>
      <c r="T147" s="4"/>
      <c r="U147" s="4">
        <v>9</v>
      </c>
      <c r="Y147" s="10">
        <v>5</v>
      </c>
      <c r="Z147" s="10" t="s">
        <v>233</v>
      </c>
      <c r="AA147" s="10" t="s">
        <v>25</v>
      </c>
      <c r="AB147" s="10" t="s">
        <v>234</v>
      </c>
      <c r="AC147" s="10" t="s">
        <v>235</v>
      </c>
      <c r="AD147" s="10" t="s">
        <v>236</v>
      </c>
      <c r="AE147" s="10">
        <v>8.4709199999999998E-3</v>
      </c>
      <c r="AF147" s="10"/>
      <c r="AG147" s="10">
        <v>1</v>
      </c>
    </row>
    <row r="148" spans="13:33" x14ac:dyDescent="0.25">
      <c r="M148" s="4">
        <v>2</v>
      </c>
      <c r="N148" s="4" t="s">
        <v>258</v>
      </c>
      <c r="O148" s="4" t="s">
        <v>35</v>
      </c>
      <c r="P148" s="4"/>
      <c r="Q148" s="4" t="s">
        <v>178</v>
      </c>
      <c r="R148" s="4" t="s">
        <v>27</v>
      </c>
      <c r="S148" s="4"/>
      <c r="T148" s="4"/>
      <c r="U148" s="4">
        <v>9</v>
      </c>
      <c r="Y148" s="10">
        <v>5</v>
      </c>
      <c r="Z148" s="10" t="s">
        <v>237</v>
      </c>
      <c r="AA148" s="10" t="s">
        <v>25</v>
      </c>
      <c r="AB148" s="10" t="s">
        <v>235</v>
      </c>
      <c r="AC148" s="10" t="s">
        <v>235</v>
      </c>
      <c r="AD148" s="10" t="s">
        <v>236</v>
      </c>
      <c r="AE148" s="10">
        <v>2.1868200000000001E-2</v>
      </c>
      <c r="AF148" s="10"/>
      <c r="AG148" s="10">
        <v>1</v>
      </c>
    </row>
    <row r="149" spans="13:33" x14ac:dyDescent="0.25">
      <c r="M149" s="4">
        <v>2</v>
      </c>
      <c r="N149" s="4" t="s">
        <v>259</v>
      </c>
      <c r="O149" s="4" t="s">
        <v>35</v>
      </c>
      <c r="P149" s="4"/>
      <c r="Q149" s="4" t="s">
        <v>260</v>
      </c>
      <c r="R149" s="4" t="s">
        <v>27</v>
      </c>
      <c r="S149" s="4">
        <v>3.5726600000000002E-4</v>
      </c>
      <c r="T149" s="4"/>
      <c r="U149" s="4">
        <v>18</v>
      </c>
      <c r="Y149" s="10">
        <v>5</v>
      </c>
      <c r="Z149" s="10" t="s">
        <v>238</v>
      </c>
      <c r="AA149" s="10" t="s">
        <v>35</v>
      </c>
      <c r="AB149" s="10" t="s">
        <v>239</v>
      </c>
      <c r="AC149" s="10" t="s">
        <v>239</v>
      </c>
      <c r="AD149" s="10" t="s">
        <v>101</v>
      </c>
      <c r="AE149" s="10">
        <v>1.32763E-2</v>
      </c>
      <c r="AF149" s="10" t="s">
        <v>150</v>
      </c>
      <c r="AG149" s="10">
        <v>1</v>
      </c>
    </row>
    <row r="150" spans="13:33" x14ac:dyDescent="0.25">
      <c r="M150" s="4">
        <v>2</v>
      </c>
      <c r="N150" s="4" t="s">
        <v>261</v>
      </c>
      <c r="O150" s="4" t="s">
        <v>25</v>
      </c>
      <c r="P150" s="4"/>
      <c r="Q150" s="4" t="s">
        <v>9</v>
      </c>
      <c r="R150" s="4" t="s">
        <v>27</v>
      </c>
      <c r="S150" s="4"/>
      <c r="T150" s="4"/>
      <c r="U150" s="4">
        <v>39</v>
      </c>
      <c r="Y150" s="10">
        <v>5</v>
      </c>
      <c r="Z150" s="10" t="s">
        <v>240</v>
      </c>
      <c r="AA150" s="10" t="s">
        <v>25</v>
      </c>
      <c r="AB150" s="10"/>
      <c r="AC150" s="10" t="s">
        <v>178</v>
      </c>
      <c r="AD150" s="10" t="s">
        <v>27</v>
      </c>
      <c r="AE150" s="10"/>
      <c r="AF150" s="10"/>
      <c r="AG150" s="10">
        <v>2</v>
      </c>
    </row>
    <row r="151" spans="13:33" x14ac:dyDescent="0.25">
      <c r="Y151" s="10">
        <v>5</v>
      </c>
      <c r="Z151" s="10" t="s">
        <v>241</v>
      </c>
      <c r="AA151" s="10" t="s">
        <v>25</v>
      </c>
      <c r="AB151" s="10"/>
      <c r="AC151" s="10" t="s">
        <v>178</v>
      </c>
      <c r="AD151" s="10" t="s">
        <v>27</v>
      </c>
      <c r="AE151" s="10"/>
      <c r="AF151" s="10"/>
      <c r="AG151" s="10">
        <v>2</v>
      </c>
    </row>
    <row r="152" spans="13:33" x14ac:dyDescent="0.25">
      <c r="Y152" s="9">
        <v>4</v>
      </c>
      <c r="Z152" s="9" t="s">
        <v>242</v>
      </c>
      <c r="AA152" s="9" t="s">
        <v>25</v>
      </c>
      <c r="AB152" s="9" t="s">
        <v>230</v>
      </c>
      <c r="AC152" s="9" t="s">
        <v>230</v>
      </c>
      <c r="AD152" s="9" t="s">
        <v>169</v>
      </c>
      <c r="AE152" s="9">
        <v>1.6781399999999998E-2</v>
      </c>
      <c r="AF152" s="9" t="s">
        <v>165</v>
      </c>
      <c r="AG152" s="9">
        <v>2</v>
      </c>
    </row>
    <row r="153" spans="13:33" x14ac:dyDescent="0.25">
      <c r="Y153" s="9">
        <v>4</v>
      </c>
      <c r="Z153" s="9" t="s">
        <v>241</v>
      </c>
      <c r="AA153" s="9" t="s">
        <v>25</v>
      </c>
      <c r="AB153" s="9"/>
      <c r="AC153" s="9" t="s">
        <v>178</v>
      </c>
      <c r="AD153" s="9" t="s">
        <v>27</v>
      </c>
      <c r="AE153" s="9"/>
      <c r="AF153" s="9"/>
      <c r="AG153" s="9">
        <v>3</v>
      </c>
    </row>
    <row r="154" spans="13:33" x14ac:dyDescent="0.25">
      <c r="Y154" s="9">
        <v>4</v>
      </c>
      <c r="Z154" s="9" t="s">
        <v>6</v>
      </c>
      <c r="AA154" s="9" t="s">
        <v>35</v>
      </c>
      <c r="AB154" s="9"/>
      <c r="AC154" s="9" t="s">
        <v>7</v>
      </c>
      <c r="AD154" s="9" t="s">
        <v>27</v>
      </c>
      <c r="AE154" s="9"/>
      <c r="AF154" s="9"/>
      <c r="AG154" s="9">
        <v>4</v>
      </c>
    </row>
    <row r="155" spans="13:33" x14ac:dyDescent="0.25">
      <c r="Y155" s="9">
        <v>4</v>
      </c>
      <c r="Z155" s="9" t="s">
        <v>243</v>
      </c>
      <c r="AA155" s="9" t="s">
        <v>227</v>
      </c>
      <c r="AB155" s="9" t="s">
        <v>244</v>
      </c>
      <c r="AC155" s="9" t="s">
        <v>244</v>
      </c>
      <c r="AD155" s="9" t="s">
        <v>101</v>
      </c>
      <c r="AE155" s="9">
        <v>2.2644399999999999E-2</v>
      </c>
      <c r="AF155" s="9" t="s">
        <v>102</v>
      </c>
      <c r="AG155" s="9">
        <v>4</v>
      </c>
    </row>
    <row r="156" spans="13:33" x14ac:dyDescent="0.25">
      <c r="Y156" s="9">
        <v>4</v>
      </c>
      <c r="Z156" s="9" t="s">
        <v>245</v>
      </c>
      <c r="AA156" s="9" t="s">
        <v>35</v>
      </c>
      <c r="AB156" s="9" t="s">
        <v>246</v>
      </c>
      <c r="AC156" s="9" t="s">
        <v>246</v>
      </c>
      <c r="AF156" s="9"/>
      <c r="AG156" s="9">
        <v>4</v>
      </c>
    </row>
    <row r="157" spans="13:33" x14ac:dyDescent="0.25">
      <c r="Y157" s="10">
        <v>5</v>
      </c>
      <c r="Z157" s="10" t="s">
        <v>247</v>
      </c>
      <c r="AA157" s="10" t="s">
        <v>35</v>
      </c>
      <c r="AB157" s="10" t="s">
        <v>198</v>
      </c>
      <c r="AC157" s="10" t="s">
        <v>198</v>
      </c>
      <c r="AD157" s="10" t="s">
        <v>101</v>
      </c>
      <c r="AE157" s="10">
        <v>7.7510699999999997E-3</v>
      </c>
      <c r="AF157" s="10"/>
      <c r="AG157" s="10">
        <v>1</v>
      </c>
    </row>
    <row r="158" spans="13:33" x14ac:dyDescent="0.25">
      <c r="Y158" s="10">
        <v>5</v>
      </c>
      <c r="Z158" s="10" t="s">
        <v>199</v>
      </c>
      <c r="AA158" s="10" t="s">
        <v>25</v>
      </c>
      <c r="AB158" s="10"/>
      <c r="AC158" s="10" t="s">
        <v>200</v>
      </c>
      <c r="AD158" s="10" t="s">
        <v>27</v>
      </c>
      <c r="AE158" s="10"/>
      <c r="AF158" s="10"/>
      <c r="AG158" s="10">
        <v>1</v>
      </c>
    </row>
    <row r="159" spans="13:33" x14ac:dyDescent="0.25">
      <c r="Y159" s="9">
        <v>4</v>
      </c>
      <c r="Z159" s="9" t="s">
        <v>248</v>
      </c>
      <c r="AA159" s="9" t="s">
        <v>35</v>
      </c>
      <c r="AB159" s="9"/>
      <c r="AC159" s="9" t="s">
        <v>7</v>
      </c>
      <c r="AD159" s="9" t="s">
        <v>27</v>
      </c>
      <c r="AE159" s="9">
        <v>1.29429E-3</v>
      </c>
      <c r="AF159" s="9"/>
      <c r="AG159" s="9">
        <v>5</v>
      </c>
    </row>
    <row r="160" spans="13:33" x14ac:dyDescent="0.25">
      <c r="Y160" s="9">
        <v>4</v>
      </c>
      <c r="Z160" s="9" t="s">
        <v>10</v>
      </c>
      <c r="AA160" s="9" t="s">
        <v>25</v>
      </c>
      <c r="AB160" s="9"/>
      <c r="AC160" s="9" t="s">
        <v>9</v>
      </c>
      <c r="AD160" s="9" t="s">
        <v>27</v>
      </c>
      <c r="AE160" s="9"/>
      <c r="AF160" s="9"/>
      <c r="AG160" s="9">
        <v>5</v>
      </c>
    </row>
    <row r="161" spans="25:33" x14ac:dyDescent="0.25">
      <c r="Y161" s="9">
        <v>4</v>
      </c>
      <c r="Z161" s="9" t="s">
        <v>249</v>
      </c>
      <c r="AA161" s="9" t="s">
        <v>25</v>
      </c>
      <c r="AB161" s="9"/>
      <c r="AC161" s="9" t="s">
        <v>198</v>
      </c>
      <c r="AD161" s="9" t="s">
        <v>101</v>
      </c>
      <c r="AE161" s="9">
        <v>4.3531100000000003E-3</v>
      </c>
      <c r="AF161" s="9" t="s">
        <v>250</v>
      </c>
      <c r="AG161" s="9">
        <v>6</v>
      </c>
    </row>
    <row r="162" spans="25:33" ht="90" x14ac:dyDescent="0.25">
      <c r="Y162" s="9">
        <v>4</v>
      </c>
      <c r="Z162" s="9" t="s">
        <v>251</v>
      </c>
      <c r="AA162" s="9" t="s">
        <v>78</v>
      </c>
      <c r="AB162" s="11" t="s">
        <v>252</v>
      </c>
      <c r="AC162" s="9" t="s">
        <v>111</v>
      </c>
      <c r="AD162" s="9" t="s">
        <v>101</v>
      </c>
      <c r="AE162" s="9">
        <v>4.8415899999999998E-3</v>
      </c>
      <c r="AF162" s="9" t="s">
        <v>150</v>
      </c>
      <c r="AG162" s="9">
        <v>6</v>
      </c>
    </row>
    <row r="163" spans="25:33" x14ac:dyDescent="0.25">
      <c r="Y163" s="9">
        <v>4</v>
      </c>
      <c r="Z163" s="9" t="s">
        <v>253</v>
      </c>
      <c r="AA163" s="9" t="s">
        <v>25</v>
      </c>
      <c r="AB163" s="9" t="s">
        <v>254</v>
      </c>
      <c r="AC163" s="9" t="s">
        <v>254</v>
      </c>
      <c r="AD163" s="9" t="s">
        <v>27</v>
      </c>
      <c r="AE163" s="9"/>
      <c r="AF163" s="9"/>
      <c r="AG163" s="9">
        <v>8</v>
      </c>
    </row>
    <row r="164" spans="25:33" x14ac:dyDescent="0.25">
      <c r="Y164" s="9">
        <v>4</v>
      </c>
      <c r="Z164" s="9" t="s">
        <v>255</v>
      </c>
      <c r="AA164" s="9" t="s">
        <v>25</v>
      </c>
      <c r="AB164" s="9"/>
      <c r="AC164" s="9" t="s">
        <v>256</v>
      </c>
      <c r="AD164" s="9" t="s">
        <v>27</v>
      </c>
      <c r="AE164" s="9"/>
      <c r="AF164" s="9"/>
      <c r="AG164" s="9">
        <v>8</v>
      </c>
    </row>
    <row r="165" spans="25:33" x14ac:dyDescent="0.25">
      <c r="Y165" s="9">
        <v>4</v>
      </c>
      <c r="Z165" s="9" t="s">
        <v>257</v>
      </c>
      <c r="AA165" s="9" t="s">
        <v>25</v>
      </c>
      <c r="AB165" s="9"/>
      <c r="AC165" s="9" t="s">
        <v>7</v>
      </c>
      <c r="AD165" s="9" t="s">
        <v>27</v>
      </c>
      <c r="AE165" s="9"/>
      <c r="AF165" s="9"/>
      <c r="AG165" s="9">
        <v>9</v>
      </c>
    </row>
    <row r="166" spans="25:33" x14ac:dyDescent="0.25">
      <c r="Y166" s="9">
        <v>4</v>
      </c>
      <c r="Z166" s="9" t="s">
        <v>258</v>
      </c>
      <c r="AA166" s="9" t="s">
        <v>35</v>
      </c>
      <c r="AB166" s="9"/>
      <c r="AC166" s="9" t="s">
        <v>178</v>
      </c>
      <c r="AD166" s="9" t="s">
        <v>27</v>
      </c>
      <c r="AE166" s="9"/>
      <c r="AF166" s="9"/>
      <c r="AG166" s="9">
        <v>9</v>
      </c>
    </row>
    <row r="167" spans="25:33" x14ac:dyDescent="0.25">
      <c r="Y167" s="9">
        <v>4</v>
      </c>
      <c r="Z167" s="9" t="s">
        <v>259</v>
      </c>
      <c r="AA167" s="9" t="s">
        <v>35</v>
      </c>
      <c r="AB167" s="9"/>
      <c r="AC167" s="9" t="s">
        <v>260</v>
      </c>
      <c r="AD167" s="9" t="s">
        <v>27</v>
      </c>
      <c r="AE167" s="9">
        <v>3.5726600000000002E-4</v>
      </c>
      <c r="AF167" s="9"/>
      <c r="AG167" s="9">
        <v>18</v>
      </c>
    </row>
    <row r="168" spans="25:33" x14ac:dyDescent="0.25">
      <c r="Y168" s="9">
        <v>4</v>
      </c>
      <c r="Z168" s="9" t="s">
        <v>261</v>
      </c>
      <c r="AA168" s="9" t="s">
        <v>25</v>
      </c>
      <c r="AB168" s="9"/>
      <c r="AC168" s="9" t="s">
        <v>9</v>
      </c>
      <c r="AD168" s="9" t="s">
        <v>27</v>
      </c>
      <c r="AE168" s="9"/>
      <c r="AF168" s="9"/>
      <c r="AG168" s="9">
        <v>39</v>
      </c>
    </row>
    <row r="169" spans="25:33" x14ac:dyDescent="0.25">
      <c r="Y169" s="10">
        <v>3</v>
      </c>
      <c r="Z169" s="10" t="s">
        <v>313</v>
      </c>
      <c r="AA169" s="10" t="s">
        <v>78</v>
      </c>
      <c r="AB169" s="10" t="s">
        <v>314</v>
      </c>
      <c r="AC169" s="10" t="s">
        <v>315</v>
      </c>
      <c r="AF169" s="10" t="s">
        <v>19</v>
      </c>
      <c r="AG169" s="10">
        <v>1</v>
      </c>
    </row>
    <row r="170" spans="25:33" x14ac:dyDescent="0.25">
      <c r="Y170" s="9">
        <v>4</v>
      </c>
      <c r="Z170" s="9" t="s">
        <v>316</v>
      </c>
      <c r="AA170" s="9" t="s">
        <v>78</v>
      </c>
      <c r="AB170" s="9" t="s">
        <v>317</v>
      </c>
      <c r="AC170" s="9" t="s">
        <v>22</v>
      </c>
      <c r="AD170" s="9" t="s">
        <v>80</v>
      </c>
      <c r="AE170" s="9">
        <v>0.136321</v>
      </c>
      <c r="AF170" s="9" t="s">
        <v>19</v>
      </c>
      <c r="AG170" s="9">
        <v>1</v>
      </c>
    </row>
    <row r="171" spans="25:33" x14ac:dyDescent="0.25">
      <c r="Y171" s="9">
        <v>4</v>
      </c>
      <c r="Z171" s="9" t="s">
        <v>318</v>
      </c>
      <c r="AA171" s="9" t="s">
        <v>25</v>
      </c>
      <c r="AB171" s="9"/>
      <c r="AC171" s="9" t="s">
        <v>62</v>
      </c>
      <c r="AD171" s="9" t="s">
        <v>27</v>
      </c>
      <c r="AE171" s="9"/>
      <c r="AF171" s="9"/>
      <c r="AG171" s="9">
        <v>6</v>
      </c>
    </row>
    <row r="172" spans="25:33" x14ac:dyDescent="0.25">
      <c r="Y172" s="10">
        <v>3</v>
      </c>
      <c r="Z172" s="10" t="s">
        <v>319</v>
      </c>
      <c r="AA172" s="10" t="s">
        <v>227</v>
      </c>
      <c r="AB172" s="10" t="s">
        <v>320</v>
      </c>
      <c r="AC172" s="10" t="s">
        <v>302</v>
      </c>
      <c r="AF172" s="10" t="s">
        <v>223</v>
      </c>
      <c r="AG172" s="10">
        <v>1</v>
      </c>
    </row>
    <row r="173" spans="25:33" x14ac:dyDescent="0.25">
      <c r="Y173" s="9">
        <v>4</v>
      </c>
      <c r="Z173" s="9" t="s">
        <v>321</v>
      </c>
      <c r="AA173" s="9" t="s">
        <v>227</v>
      </c>
      <c r="AB173" s="9" t="s">
        <v>322</v>
      </c>
      <c r="AC173" s="9" t="s">
        <v>323</v>
      </c>
      <c r="AD173" s="9" t="s">
        <v>324</v>
      </c>
      <c r="AE173" s="9">
        <v>0.70998600000000001</v>
      </c>
      <c r="AF173" s="9" t="s">
        <v>165</v>
      </c>
      <c r="AG173" s="9">
        <v>1</v>
      </c>
    </row>
    <row r="174" spans="25:33" x14ac:dyDescent="0.25">
      <c r="Y174" s="9">
        <v>4</v>
      </c>
      <c r="Z174" s="9" t="s">
        <v>325</v>
      </c>
      <c r="AA174" s="9" t="s">
        <v>227</v>
      </c>
      <c r="AB174" s="9" t="s">
        <v>322</v>
      </c>
      <c r="AC174" s="9" t="s">
        <v>323</v>
      </c>
      <c r="AD174" s="9" t="s">
        <v>324</v>
      </c>
      <c r="AE174" s="9">
        <v>0.69848299999999997</v>
      </c>
      <c r="AF174" s="9" t="s">
        <v>165</v>
      </c>
      <c r="AG174" s="9">
        <v>1</v>
      </c>
    </row>
    <row r="175" spans="25:33" x14ac:dyDescent="0.25">
      <c r="Y175" s="9">
        <v>4</v>
      </c>
      <c r="Z175" s="9" t="s">
        <v>326</v>
      </c>
      <c r="AA175" s="9" t="s">
        <v>25</v>
      </c>
      <c r="AB175" s="9" t="s">
        <v>327</v>
      </c>
      <c r="AC175" s="9" t="s">
        <v>327</v>
      </c>
      <c r="AD175" s="9"/>
      <c r="AE175" s="9">
        <v>0</v>
      </c>
      <c r="AF175" s="9"/>
      <c r="AG175" s="9">
        <v>2</v>
      </c>
    </row>
    <row r="176" spans="25:33" ht="30" x14ac:dyDescent="0.25">
      <c r="Y176" s="9">
        <v>4</v>
      </c>
      <c r="Z176" s="9" t="s">
        <v>310</v>
      </c>
      <c r="AA176" s="9" t="s">
        <v>25</v>
      </c>
      <c r="AB176" s="11" t="s">
        <v>311</v>
      </c>
      <c r="AC176" s="9" t="s">
        <v>312</v>
      </c>
      <c r="AD176" s="9" t="s">
        <v>176</v>
      </c>
      <c r="AE176" s="9">
        <v>8.2232099999999999E-4</v>
      </c>
      <c r="AF176" s="9"/>
      <c r="AG176" s="9">
        <v>4</v>
      </c>
    </row>
    <row r="177" spans="25:33" x14ac:dyDescent="0.25">
      <c r="Y177" s="10">
        <v>3</v>
      </c>
      <c r="Z177" s="10" t="s">
        <v>328</v>
      </c>
      <c r="AA177" s="10" t="s">
        <v>35</v>
      </c>
      <c r="AB177" s="10" t="s">
        <v>329</v>
      </c>
      <c r="AC177" s="10" t="s">
        <v>330</v>
      </c>
      <c r="AF177" s="10" t="s">
        <v>218</v>
      </c>
      <c r="AG177" s="10">
        <v>1</v>
      </c>
    </row>
    <row r="178" spans="25:33" x14ac:dyDescent="0.25">
      <c r="Y178" s="9">
        <v>4</v>
      </c>
      <c r="Z178" s="9" t="s">
        <v>331</v>
      </c>
      <c r="AA178" s="9" t="s">
        <v>25</v>
      </c>
      <c r="AB178" s="9" t="s">
        <v>332</v>
      </c>
      <c r="AC178" s="9" t="s">
        <v>332</v>
      </c>
      <c r="AF178" s="9"/>
      <c r="AG178" s="9">
        <v>1</v>
      </c>
    </row>
    <row r="179" spans="25:33" x14ac:dyDescent="0.25">
      <c r="Y179" s="10">
        <v>5</v>
      </c>
      <c r="Z179" s="10" t="s">
        <v>333</v>
      </c>
      <c r="AA179" s="10" t="s">
        <v>25</v>
      </c>
      <c r="AB179" s="10" t="s">
        <v>334</v>
      </c>
      <c r="AC179" s="10" t="s">
        <v>334</v>
      </c>
      <c r="AD179" s="10" t="s">
        <v>335</v>
      </c>
      <c r="AE179" s="10">
        <v>0.37711</v>
      </c>
      <c r="AF179" s="10"/>
      <c r="AG179" s="10">
        <v>1</v>
      </c>
    </row>
    <row r="180" spans="25:33" x14ac:dyDescent="0.25">
      <c r="Y180" s="10">
        <v>5</v>
      </c>
      <c r="Z180" s="10" t="s">
        <v>336</v>
      </c>
      <c r="AA180" s="10" t="s">
        <v>25</v>
      </c>
      <c r="AB180" s="10" t="s">
        <v>337</v>
      </c>
      <c r="AC180" s="10" t="s">
        <v>337</v>
      </c>
      <c r="AD180" s="10" t="s">
        <v>335</v>
      </c>
      <c r="AE180" s="10">
        <v>0.35534399999999999</v>
      </c>
      <c r="AF180" s="10"/>
      <c r="AG180" s="10">
        <v>1</v>
      </c>
    </row>
    <row r="181" spans="25:33" x14ac:dyDescent="0.25">
      <c r="Y181" s="10">
        <v>5</v>
      </c>
      <c r="Z181" s="10" t="s">
        <v>338</v>
      </c>
      <c r="AA181" s="10" t="s">
        <v>25</v>
      </c>
      <c r="AB181" s="10" t="s">
        <v>339</v>
      </c>
      <c r="AC181" s="10" t="s">
        <v>339</v>
      </c>
      <c r="AD181" s="10" t="s">
        <v>335</v>
      </c>
      <c r="AE181" s="10">
        <v>0.72056299999999995</v>
      </c>
      <c r="AF181" s="10"/>
      <c r="AG181" s="10">
        <v>1</v>
      </c>
    </row>
    <row r="182" spans="25:33" x14ac:dyDescent="0.25">
      <c r="Y182" s="10">
        <v>5</v>
      </c>
      <c r="Z182" s="10" t="s">
        <v>340</v>
      </c>
      <c r="AA182" s="10" t="s">
        <v>25</v>
      </c>
      <c r="AB182" s="10" t="s">
        <v>341</v>
      </c>
      <c r="AC182" s="10" t="s">
        <v>342</v>
      </c>
      <c r="AD182" s="10" t="s">
        <v>335</v>
      </c>
      <c r="AE182" s="10">
        <v>0.13650000000000001</v>
      </c>
      <c r="AF182" s="10"/>
      <c r="AG182" s="10">
        <v>1</v>
      </c>
    </row>
    <row r="183" spans="25:33" x14ac:dyDescent="0.25">
      <c r="Y183" s="9">
        <v>4</v>
      </c>
      <c r="Z183" s="9" t="s">
        <v>343</v>
      </c>
      <c r="AA183" s="9" t="s">
        <v>35</v>
      </c>
      <c r="AB183" s="9" t="s">
        <v>344</v>
      </c>
      <c r="AC183" s="9" t="s">
        <v>345</v>
      </c>
      <c r="AF183" s="9" t="s">
        <v>218</v>
      </c>
      <c r="AG183" s="9">
        <v>1</v>
      </c>
    </row>
    <row r="184" spans="25:33" x14ac:dyDescent="0.25">
      <c r="Y184" s="10">
        <v>5</v>
      </c>
      <c r="Z184" s="10" t="s">
        <v>346</v>
      </c>
      <c r="AA184" s="10" t="s">
        <v>25</v>
      </c>
      <c r="AB184" s="10" t="s">
        <v>347</v>
      </c>
      <c r="AC184" s="10" t="s">
        <v>347</v>
      </c>
      <c r="AF184" s="10"/>
      <c r="AG184" s="10">
        <v>1</v>
      </c>
    </row>
    <row r="185" spans="25:33" x14ac:dyDescent="0.25">
      <c r="Y185" s="9">
        <v>6</v>
      </c>
      <c r="Z185" s="9" t="s">
        <v>348</v>
      </c>
      <c r="AA185" s="9" t="s">
        <v>25</v>
      </c>
      <c r="AB185" s="9" t="s">
        <v>349</v>
      </c>
      <c r="AC185" s="9" t="s">
        <v>350</v>
      </c>
      <c r="AD185" s="9" t="s">
        <v>23</v>
      </c>
      <c r="AE185" s="9">
        <v>6.1157700000000002E-2</v>
      </c>
      <c r="AF185" s="9"/>
      <c r="AG185" s="9">
        <v>1</v>
      </c>
    </row>
    <row r="186" spans="25:33" x14ac:dyDescent="0.25">
      <c r="Y186" s="9">
        <v>6</v>
      </c>
      <c r="Z186" s="9" t="s">
        <v>84</v>
      </c>
      <c r="AA186" s="9" t="s">
        <v>25</v>
      </c>
      <c r="AB186" s="9" t="s">
        <v>50</v>
      </c>
      <c r="AC186" s="9" t="s">
        <v>50</v>
      </c>
      <c r="AD186" s="9" t="s">
        <v>27</v>
      </c>
      <c r="AE186" s="9"/>
      <c r="AF186" s="9"/>
      <c r="AG186" s="9">
        <v>3</v>
      </c>
    </row>
    <row r="187" spans="25:33" x14ac:dyDescent="0.25">
      <c r="Y187" s="10">
        <v>5</v>
      </c>
      <c r="Z187" s="10" t="s">
        <v>351</v>
      </c>
      <c r="AA187" s="10" t="s">
        <v>35</v>
      </c>
      <c r="AB187" s="10" t="s">
        <v>352</v>
      </c>
      <c r="AC187" s="10" t="s">
        <v>141</v>
      </c>
      <c r="AD187" s="10" t="s">
        <v>23</v>
      </c>
      <c r="AE187" s="10">
        <v>2.4865700000000001E-2</v>
      </c>
      <c r="AF187" s="10" t="s">
        <v>19</v>
      </c>
      <c r="AG187" s="10">
        <v>1</v>
      </c>
    </row>
    <row r="188" spans="25:33" x14ac:dyDescent="0.25">
      <c r="Y188" s="10">
        <v>5</v>
      </c>
      <c r="Z188" s="10" t="s">
        <v>353</v>
      </c>
      <c r="AA188" s="10" t="s">
        <v>35</v>
      </c>
      <c r="AB188" s="10" t="s">
        <v>354</v>
      </c>
      <c r="AC188" s="10" t="s">
        <v>355</v>
      </c>
      <c r="AD188" s="10" t="s">
        <v>23</v>
      </c>
      <c r="AE188" s="10">
        <v>2.4829199999999999E-2</v>
      </c>
      <c r="AF188" s="10" t="s">
        <v>19</v>
      </c>
      <c r="AG188" s="10">
        <v>1</v>
      </c>
    </row>
    <row r="189" spans="25:33" x14ac:dyDescent="0.25">
      <c r="Y189" s="10">
        <v>5</v>
      </c>
      <c r="Z189" s="10" t="s">
        <v>356</v>
      </c>
      <c r="AA189" s="10" t="s">
        <v>35</v>
      </c>
      <c r="AB189" s="10" t="s">
        <v>357</v>
      </c>
      <c r="AC189" s="10" t="s">
        <v>357</v>
      </c>
      <c r="AF189" s="10" t="s">
        <v>218</v>
      </c>
      <c r="AG189" s="10">
        <v>1</v>
      </c>
    </row>
    <row r="190" spans="25:33" x14ac:dyDescent="0.25">
      <c r="Y190" s="9">
        <v>6</v>
      </c>
      <c r="Z190" s="9" t="s">
        <v>358</v>
      </c>
      <c r="AA190" s="9" t="s">
        <v>35</v>
      </c>
      <c r="AB190" s="9" t="s">
        <v>359</v>
      </c>
      <c r="AC190" s="9" t="s">
        <v>360</v>
      </c>
      <c r="AD190" s="9" t="s">
        <v>23</v>
      </c>
      <c r="AE190" s="9">
        <v>6.1157700000000002E-2</v>
      </c>
      <c r="AF190" s="9" t="s">
        <v>19</v>
      </c>
      <c r="AG190" s="9">
        <v>1</v>
      </c>
    </row>
    <row r="191" spans="25:33" x14ac:dyDescent="0.25">
      <c r="Y191" s="9">
        <v>6</v>
      </c>
      <c r="Z191" s="9" t="s">
        <v>84</v>
      </c>
      <c r="AA191" s="9" t="s">
        <v>25</v>
      </c>
      <c r="AB191" s="9" t="s">
        <v>50</v>
      </c>
      <c r="AC191" s="9" t="s">
        <v>50</v>
      </c>
      <c r="AD191" s="9" t="s">
        <v>27</v>
      </c>
      <c r="AE191" s="9"/>
      <c r="AF191" s="9"/>
      <c r="AG191" s="9">
        <v>3</v>
      </c>
    </row>
    <row r="192" spans="25:33" x14ac:dyDescent="0.25">
      <c r="Y192" s="10">
        <v>5</v>
      </c>
      <c r="Z192" s="10" t="s">
        <v>361</v>
      </c>
      <c r="AA192" s="10" t="s">
        <v>35</v>
      </c>
      <c r="AB192" s="10" t="s">
        <v>362</v>
      </c>
      <c r="AC192" s="10" t="s">
        <v>363</v>
      </c>
      <c r="AD192" s="10" t="s">
        <v>23</v>
      </c>
      <c r="AE192" s="10">
        <v>5.9977900000000002E-3</v>
      </c>
      <c r="AF192" s="10" t="s">
        <v>19</v>
      </c>
      <c r="AG192" s="10">
        <v>1</v>
      </c>
    </row>
    <row r="193" spans="25:33" x14ac:dyDescent="0.25">
      <c r="Y193" s="10">
        <v>5</v>
      </c>
      <c r="Z193" s="10" t="s">
        <v>364</v>
      </c>
      <c r="AA193" s="10" t="s">
        <v>35</v>
      </c>
      <c r="AB193" s="10" t="s">
        <v>365</v>
      </c>
      <c r="AC193" s="10" t="s">
        <v>366</v>
      </c>
      <c r="AD193" s="10" t="s">
        <v>23</v>
      </c>
      <c r="AE193" s="10">
        <v>5.9977900000000002E-3</v>
      </c>
      <c r="AF193" s="10" t="s">
        <v>19</v>
      </c>
      <c r="AG193" s="10">
        <v>1</v>
      </c>
    </row>
    <row r="194" spans="25:33" x14ac:dyDescent="0.25">
      <c r="Y194" s="10">
        <v>5</v>
      </c>
      <c r="Z194" s="10" t="s">
        <v>367</v>
      </c>
      <c r="AA194" s="10" t="s">
        <v>35</v>
      </c>
      <c r="AB194" s="10" t="s">
        <v>368</v>
      </c>
      <c r="AC194" s="10" t="s">
        <v>368</v>
      </c>
      <c r="AD194" s="10" t="s">
        <v>294</v>
      </c>
      <c r="AE194" s="10">
        <v>0.209317</v>
      </c>
      <c r="AF194" s="10" t="s">
        <v>218</v>
      </c>
      <c r="AG194" s="10">
        <v>1</v>
      </c>
    </row>
    <row r="195" spans="25:33" x14ac:dyDescent="0.25">
      <c r="Y195" s="10">
        <v>5</v>
      </c>
      <c r="Z195" s="10" t="s">
        <v>369</v>
      </c>
      <c r="AA195" s="10" t="s">
        <v>35</v>
      </c>
      <c r="AB195" s="10" t="s">
        <v>370</v>
      </c>
      <c r="AC195" s="10" t="s">
        <v>144</v>
      </c>
      <c r="AD195" s="10" t="s">
        <v>23</v>
      </c>
      <c r="AE195" s="10">
        <v>8.9041400000000007E-2</v>
      </c>
      <c r="AF195" s="10" t="s">
        <v>19</v>
      </c>
      <c r="AG195" s="10">
        <v>1</v>
      </c>
    </row>
    <row r="196" spans="25:33" x14ac:dyDescent="0.25">
      <c r="Y196" s="9">
        <v>4</v>
      </c>
      <c r="Z196" s="9" t="s">
        <v>371</v>
      </c>
      <c r="AA196" s="9" t="s">
        <v>70</v>
      </c>
      <c r="AB196" s="9" t="s">
        <v>372</v>
      </c>
      <c r="AC196" s="9" t="s">
        <v>372</v>
      </c>
      <c r="AF196" s="9" t="s">
        <v>218</v>
      </c>
      <c r="AG196" s="9">
        <v>1</v>
      </c>
    </row>
    <row r="197" spans="25:33" x14ac:dyDescent="0.25">
      <c r="Y197" s="10">
        <v>5</v>
      </c>
      <c r="Z197" s="10" t="s">
        <v>373</v>
      </c>
      <c r="AA197" s="10" t="s">
        <v>70</v>
      </c>
      <c r="AB197" s="10" t="s">
        <v>374</v>
      </c>
      <c r="AC197" s="10" t="s">
        <v>375</v>
      </c>
      <c r="AD197" s="10" t="s">
        <v>335</v>
      </c>
      <c r="AE197" s="10">
        <v>5.5232399999999996E-3</v>
      </c>
      <c r="AF197" s="10" t="s">
        <v>218</v>
      </c>
      <c r="AG197" s="10">
        <v>1</v>
      </c>
    </row>
    <row r="198" spans="25:33" x14ac:dyDescent="0.25">
      <c r="Y198" s="10">
        <v>5</v>
      </c>
      <c r="Z198" s="10" t="s">
        <v>376</v>
      </c>
      <c r="AA198" s="10" t="s">
        <v>25</v>
      </c>
      <c r="AB198" s="10" t="s">
        <v>332</v>
      </c>
      <c r="AC198" s="10" t="s">
        <v>332</v>
      </c>
      <c r="AF198" s="10"/>
      <c r="AG198" s="10">
        <v>1</v>
      </c>
    </row>
    <row r="199" spans="25:33" x14ac:dyDescent="0.25">
      <c r="Y199" s="9">
        <v>6</v>
      </c>
      <c r="Z199" s="9" t="s">
        <v>377</v>
      </c>
      <c r="AA199" s="9" t="s">
        <v>25</v>
      </c>
      <c r="AB199" s="9" t="s">
        <v>378</v>
      </c>
      <c r="AC199" s="9" t="s">
        <v>378</v>
      </c>
      <c r="AD199" s="9" t="s">
        <v>335</v>
      </c>
      <c r="AE199" s="9">
        <v>1.86838E-3</v>
      </c>
      <c r="AF199" s="9"/>
      <c r="AG199" s="9">
        <v>1</v>
      </c>
    </row>
    <row r="200" spans="25:33" x14ac:dyDescent="0.25">
      <c r="Y200" s="9">
        <v>6</v>
      </c>
      <c r="Z200" s="9" t="s">
        <v>379</v>
      </c>
      <c r="AA200" s="9" t="s">
        <v>25</v>
      </c>
      <c r="AB200" s="9" t="s">
        <v>380</v>
      </c>
      <c r="AC200" s="9" t="s">
        <v>380</v>
      </c>
      <c r="AD200" s="9" t="s">
        <v>381</v>
      </c>
      <c r="AE200" s="9">
        <v>6.10573E-4</v>
      </c>
      <c r="AF200" s="9"/>
      <c r="AG200" s="9">
        <v>1</v>
      </c>
    </row>
    <row r="201" spans="25:33" x14ac:dyDescent="0.25">
      <c r="Y201" s="9">
        <v>6</v>
      </c>
      <c r="Z201" s="9" t="s">
        <v>382</v>
      </c>
      <c r="AA201" s="9" t="s">
        <v>25</v>
      </c>
      <c r="AB201" s="9" t="s">
        <v>383</v>
      </c>
      <c r="AC201" s="9" t="s">
        <v>383</v>
      </c>
      <c r="AD201" s="9" t="s">
        <v>335</v>
      </c>
      <c r="AE201" s="9">
        <v>1.0934899999999999E-3</v>
      </c>
      <c r="AF201" s="9"/>
      <c r="AG201" s="9">
        <v>1</v>
      </c>
    </row>
    <row r="202" spans="25:33" x14ac:dyDescent="0.25">
      <c r="Y202" s="9">
        <v>6</v>
      </c>
      <c r="Z202" s="9" t="s">
        <v>384</v>
      </c>
      <c r="AA202" s="9" t="s">
        <v>25</v>
      </c>
      <c r="AB202" s="9" t="s">
        <v>334</v>
      </c>
      <c r="AC202" s="9" t="s">
        <v>334</v>
      </c>
      <c r="AD202" s="9" t="s">
        <v>335</v>
      </c>
      <c r="AE202" s="9">
        <v>0.36265700000000001</v>
      </c>
      <c r="AF202" s="9"/>
      <c r="AG202" s="9">
        <v>1</v>
      </c>
    </row>
    <row r="203" spans="25:33" x14ac:dyDescent="0.25">
      <c r="Y203" s="9">
        <v>6</v>
      </c>
      <c r="Z203" s="9" t="s">
        <v>385</v>
      </c>
      <c r="AA203" s="9" t="s">
        <v>25</v>
      </c>
      <c r="AB203" s="9" t="s">
        <v>339</v>
      </c>
      <c r="AC203" s="9" t="s">
        <v>339</v>
      </c>
      <c r="AD203" s="9" t="s">
        <v>335</v>
      </c>
      <c r="AE203" s="9">
        <v>0.72056299999999995</v>
      </c>
      <c r="AF203" s="9"/>
      <c r="AG203" s="9">
        <v>1</v>
      </c>
    </row>
    <row r="204" spans="25:33" x14ac:dyDescent="0.25">
      <c r="Y204" s="9">
        <v>6</v>
      </c>
      <c r="Z204" s="9" t="s">
        <v>386</v>
      </c>
      <c r="AA204" s="9" t="s">
        <v>25</v>
      </c>
      <c r="AB204" s="9" t="s">
        <v>337</v>
      </c>
      <c r="AC204" s="9" t="s">
        <v>337</v>
      </c>
      <c r="AD204" s="9" t="s">
        <v>335</v>
      </c>
      <c r="AE204" s="9">
        <v>0.35534399999999999</v>
      </c>
      <c r="AF204" s="9"/>
      <c r="AG204" s="9">
        <v>1</v>
      </c>
    </row>
    <row r="205" spans="25:33" x14ac:dyDescent="0.25">
      <c r="Y205" s="9">
        <v>6</v>
      </c>
      <c r="Z205" s="9" t="s">
        <v>387</v>
      </c>
      <c r="AA205" s="9" t="s">
        <v>25</v>
      </c>
      <c r="AB205" s="9" t="s">
        <v>341</v>
      </c>
      <c r="AC205" s="9" t="s">
        <v>341</v>
      </c>
      <c r="AD205" s="9" t="s">
        <v>335</v>
      </c>
      <c r="AE205" s="9">
        <v>1.37015</v>
      </c>
      <c r="AF205" s="9"/>
      <c r="AG205" s="9">
        <v>1</v>
      </c>
    </row>
    <row r="206" spans="25:33" x14ac:dyDescent="0.25">
      <c r="Y206" s="9">
        <v>4</v>
      </c>
      <c r="Z206" s="9" t="s">
        <v>388</v>
      </c>
      <c r="AA206" s="9" t="s">
        <v>35</v>
      </c>
      <c r="AB206" s="9" t="s">
        <v>389</v>
      </c>
      <c r="AC206" s="9" t="s">
        <v>390</v>
      </c>
      <c r="AD206" s="9" t="s">
        <v>391</v>
      </c>
      <c r="AE206" s="9">
        <v>2.56977E-2</v>
      </c>
      <c r="AF206" s="9" t="s">
        <v>19</v>
      </c>
      <c r="AG206" s="9">
        <v>2</v>
      </c>
    </row>
    <row r="207" spans="25:33" x14ac:dyDescent="0.25">
      <c r="Y207" s="9">
        <v>4</v>
      </c>
      <c r="Z207" s="9" t="s">
        <v>392</v>
      </c>
      <c r="AA207" s="9" t="s">
        <v>35</v>
      </c>
      <c r="AB207" s="9"/>
      <c r="AC207" s="9" t="s">
        <v>9</v>
      </c>
      <c r="AD207" s="9" t="s">
        <v>27</v>
      </c>
      <c r="AE207" s="9"/>
      <c r="AF207" s="9"/>
      <c r="AG207" s="9">
        <v>6</v>
      </c>
    </row>
    <row r="208" spans="25:33" x14ac:dyDescent="0.25">
      <c r="Y208" s="9">
        <v>4</v>
      </c>
      <c r="Z208" s="9" t="s">
        <v>10</v>
      </c>
      <c r="AA208" s="9" t="s">
        <v>25</v>
      </c>
      <c r="AB208" s="9"/>
      <c r="AC208" s="9" t="s">
        <v>9</v>
      </c>
      <c r="AD208" s="9" t="s">
        <v>27</v>
      </c>
      <c r="AE208" s="9"/>
      <c r="AF208" s="9"/>
      <c r="AG208" s="9">
        <v>6</v>
      </c>
    </row>
    <row r="209" spans="25:33" x14ac:dyDescent="0.25">
      <c r="Y209" s="10">
        <v>3</v>
      </c>
      <c r="Z209" s="10" t="s">
        <v>393</v>
      </c>
      <c r="AA209" s="10" t="s">
        <v>35</v>
      </c>
      <c r="AB209" s="10" t="s">
        <v>394</v>
      </c>
      <c r="AC209" s="10" t="s">
        <v>330</v>
      </c>
      <c r="AF209" s="10" t="s">
        <v>218</v>
      </c>
      <c r="AG209" s="10">
        <v>1</v>
      </c>
    </row>
    <row r="210" spans="25:33" x14ac:dyDescent="0.25">
      <c r="Y210" s="9">
        <v>4</v>
      </c>
      <c r="Z210" s="9" t="s">
        <v>395</v>
      </c>
      <c r="AA210" s="9" t="s">
        <v>25</v>
      </c>
      <c r="AB210" s="9" t="s">
        <v>332</v>
      </c>
      <c r="AC210" s="9" t="s">
        <v>332</v>
      </c>
      <c r="AF210" s="9"/>
      <c r="AG210" s="9">
        <v>1</v>
      </c>
    </row>
    <row r="211" spans="25:33" x14ac:dyDescent="0.25">
      <c r="Y211" s="10">
        <v>5</v>
      </c>
      <c r="Z211" s="10" t="s">
        <v>396</v>
      </c>
      <c r="AA211" s="10" t="s">
        <v>25</v>
      </c>
      <c r="AB211" s="10" t="s">
        <v>334</v>
      </c>
      <c r="AC211" s="10" t="s">
        <v>334</v>
      </c>
      <c r="AD211" s="10" t="s">
        <v>335</v>
      </c>
      <c r="AE211" s="10">
        <v>0.32769199999999998</v>
      </c>
      <c r="AF211" s="10"/>
      <c r="AG211" s="10">
        <v>1</v>
      </c>
    </row>
    <row r="212" spans="25:33" x14ac:dyDescent="0.25">
      <c r="Y212" s="10">
        <v>5</v>
      </c>
      <c r="Z212" s="10" t="s">
        <v>397</v>
      </c>
      <c r="AA212" s="10" t="s">
        <v>25</v>
      </c>
      <c r="AB212" s="10" t="s">
        <v>337</v>
      </c>
      <c r="AC212" s="10" t="s">
        <v>337</v>
      </c>
      <c r="AD212" s="10" t="s">
        <v>335</v>
      </c>
      <c r="AE212" s="10">
        <v>0.30796499999999999</v>
      </c>
      <c r="AF212" s="10"/>
      <c r="AG212" s="10">
        <v>1</v>
      </c>
    </row>
    <row r="213" spans="25:33" x14ac:dyDescent="0.25">
      <c r="Y213" s="10">
        <v>5</v>
      </c>
      <c r="Z213" s="10" t="s">
        <v>398</v>
      </c>
      <c r="AA213" s="10" t="s">
        <v>25</v>
      </c>
      <c r="AB213" s="10" t="s">
        <v>339</v>
      </c>
      <c r="AC213" s="10" t="s">
        <v>339</v>
      </c>
      <c r="AD213" s="10" t="s">
        <v>335</v>
      </c>
      <c r="AE213" s="10">
        <v>0.62309199999999998</v>
      </c>
      <c r="AF213" s="10"/>
      <c r="AG213" s="10">
        <v>1</v>
      </c>
    </row>
    <row r="214" spans="25:33" x14ac:dyDescent="0.25">
      <c r="Y214" s="10">
        <v>5</v>
      </c>
      <c r="Z214" s="10" t="s">
        <v>399</v>
      </c>
      <c r="AA214" s="10" t="s">
        <v>25</v>
      </c>
      <c r="AB214" s="10" t="s">
        <v>341</v>
      </c>
      <c r="AC214" s="10" t="s">
        <v>342</v>
      </c>
      <c r="AD214" s="10" t="s">
        <v>335</v>
      </c>
      <c r="AE214" s="10">
        <v>0.1179</v>
      </c>
      <c r="AF214" s="10"/>
      <c r="AG214" s="10">
        <v>1</v>
      </c>
    </row>
    <row r="215" spans="25:33" ht="30" x14ac:dyDescent="0.25">
      <c r="Y215" s="9">
        <v>4</v>
      </c>
      <c r="Z215" s="9" t="s">
        <v>400</v>
      </c>
      <c r="AA215" s="9" t="s">
        <v>35</v>
      </c>
      <c r="AB215" s="11" t="s">
        <v>401</v>
      </c>
      <c r="AC215" s="9" t="s">
        <v>345</v>
      </c>
      <c r="AF215" s="9" t="s">
        <v>218</v>
      </c>
      <c r="AG215" s="9">
        <v>1</v>
      </c>
    </row>
    <row r="216" spans="25:33" x14ac:dyDescent="0.25">
      <c r="Y216" s="10">
        <v>5</v>
      </c>
      <c r="Z216" s="10" t="s">
        <v>402</v>
      </c>
      <c r="AA216" s="10" t="s">
        <v>25</v>
      </c>
      <c r="AB216" s="10" t="s">
        <v>347</v>
      </c>
      <c r="AC216" s="10" t="s">
        <v>403</v>
      </c>
      <c r="AF216" s="10"/>
      <c r="AG216" s="10">
        <v>1</v>
      </c>
    </row>
    <row r="217" spans="25:33" x14ac:dyDescent="0.25">
      <c r="Y217" s="9">
        <v>6</v>
      </c>
      <c r="Z217" s="9" t="s">
        <v>404</v>
      </c>
      <c r="AA217" s="9" t="s">
        <v>25</v>
      </c>
      <c r="AB217" s="9" t="s">
        <v>405</v>
      </c>
      <c r="AC217" s="9" t="s">
        <v>406</v>
      </c>
      <c r="AD217" s="9" t="s">
        <v>23</v>
      </c>
      <c r="AE217" s="9">
        <v>4.4007699999999997E-2</v>
      </c>
      <c r="AF217" s="9"/>
      <c r="AG217" s="9">
        <v>1</v>
      </c>
    </row>
    <row r="218" spans="25:33" x14ac:dyDescent="0.25">
      <c r="Y218" s="9">
        <v>6</v>
      </c>
      <c r="Z218" s="9" t="s">
        <v>84</v>
      </c>
      <c r="AA218" s="9" t="s">
        <v>25</v>
      </c>
      <c r="AB218" s="9" t="s">
        <v>50</v>
      </c>
      <c r="AC218" s="9" t="s">
        <v>50</v>
      </c>
      <c r="AD218" s="9" t="s">
        <v>27</v>
      </c>
      <c r="AE218" s="9"/>
      <c r="AF218" s="9"/>
      <c r="AG218" s="9">
        <v>3</v>
      </c>
    </row>
    <row r="219" spans="25:33" x14ac:dyDescent="0.25">
      <c r="Y219" s="10">
        <v>5</v>
      </c>
      <c r="Z219" s="10" t="s">
        <v>407</v>
      </c>
      <c r="AA219" s="10" t="s">
        <v>35</v>
      </c>
      <c r="AB219" s="10" t="s">
        <v>368</v>
      </c>
      <c r="AC219" s="10" t="s">
        <v>368</v>
      </c>
      <c r="AD219" s="10" t="s">
        <v>294</v>
      </c>
      <c r="AE219" s="10">
        <v>0.23338400000000001</v>
      </c>
      <c r="AF219" s="10" t="s">
        <v>289</v>
      </c>
      <c r="AG219" s="10">
        <v>1</v>
      </c>
    </row>
    <row r="220" spans="25:33" ht="30" x14ac:dyDescent="0.25">
      <c r="Y220" s="10">
        <v>5</v>
      </c>
      <c r="Z220" s="10" t="s">
        <v>408</v>
      </c>
      <c r="AA220" s="10" t="s">
        <v>35</v>
      </c>
      <c r="AB220" s="12" t="s">
        <v>409</v>
      </c>
      <c r="AC220" s="10" t="s">
        <v>141</v>
      </c>
      <c r="AD220" s="10" t="s">
        <v>23</v>
      </c>
      <c r="AE220" s="10">
        <v>1.9933099999999999E-2</v>
      </c>
      <c r="AF220" s="10" t="s">
        <v>19</v>
      </c>
      <c r="AG220" s="10">
        <v>1</v>
      </c>
    </row>
    <row r="221" spans="25:33" x14ac:dyDescent="0.25">
      <c r="Y221" s="10">
        <v>5</v>
      </c>
      <c r="Z221" s="10" t="s">
        <v>410</v>
      </c>
      <c r="AA221" s="10" t="s">
        <v>35</v>
      </c>
      <c r="AB221" s="10" t="s">
        <v>354</v>
      </c>
      <c r="AC221" s="10" t="s">
        <v>355</v>
      </c>
      <c r="AD221" s="10" t="s">
        <v>23</v>
      </c>
      <c r="AE221" s="10">
        <v>2.0409299999999998E-2</v>
      </c>
      <c r="AF221" s="10" t="s">
        <v>19</v>
      </c>
      <c r="AG221" s="10">
        <v>1</v>
      </c>
    </row>
    <row r="222" spans="25:33" x14ac:dyDescent="0.25">
      <c r="Y222" s="10">
        <v>5</v>
      </c>
      <c r="Z222" s="10" t="s">
        <v>411</v>
      </c>
      <c r="AA222" s="10" t="s">
        <v>35</v>
      </c>
      <c r="AB222" s="10" t="s">
        <v>347</v>
      </c>
      <c r="AC222" s="10" t="s">
        <v>347</v>
      </c>
      <c r="AF222" s="10" t="s">
        <v>218</v>
      </c>
      <c r="AG222" s="10">
        <v>1</v>
      </c>
    </row>
    <row r="223" spans="25:33" x14ac:dyDescent="0.25">
      <c r="Y223" s="9">
        <v>6</v>
      </c>
      <c r="Z223" s="9" t="s">
        <v>412</v>
      </c>
      <c r="AA223" s="9" t="s">
        <v>35</v>
      </c>
      <c r="AB223" s="9" t="s">
        <v>350</v>
      </c>
      <c r="AC223" s="9" t="s">
        <v>350</v>
      </c>
      <c r="AD223" s="9" t="s">
        <v>23</v>
      </c>
      <c r="AE223" s="9">
        <v>4.4007699999999997E-2</v>
      </c>
      <c r="AF223" s="9" t="s">
        <v>19</v>
      </c>
      <c r="AG223" s="9">
        <v>1</v>
      </c>
    </row>
    <row r="224" spans="25:33" x14ac:dyDescent="0.25">
      <c r="Y224" s="9">
        <v>6</v>
      </c>
      <c r="Z224" s="9" t="s">
        <v>84</v>
      </c>
      <c r="AA224" s="9" t="s">
        <v>25</v>
      </c>
      <c r="AB224" s="9" t="s">
        <v>50</v>
      </c>
      <c r="AC224" s="9" t="s">
        <v>50</v>
      </c>
      <c r="AD224" s="9" t="s">
        <v>27</v>
      </c>
      <c r="AE224" s="9"/>
      <c r="AF224" s="9"/>
      <c r="AG224" s="9">
        <v>3</v>
      </c>
    </row>
    <row r="225" spans="25:33" x14ac:dyDescent="0.25">
      <c r="Y225" s="10">
        <v>5</v>
      </c>
      <c r="Z225" s="10" t="s">
        <v>413</v>
      </c>
      <c r="AA225" s="10" t="s">
        <v>35</v>
      </c>
      <c r="AB225" s="10" t="s">
        <v>414</v>
      </c>
      <c r="AC225" s="10" t="s">
        <v>363</v>
      </c>
      <c r="AD225" s="10" t="s">
        <v>23</v>
      </c>
      <c r="AE225" s="10">
        <v>5.1763199999999999E-3</v>
      </c>
      <c r="AF225" s="10" t="s">
        <v>19</v>
      </c>
      <c r="AG225" s="10">
        <v>1</v>
      </c>
    </row>
    <row r="226" spans="25:33" x14ac:dyDescent="0.25">
      <c r="Y226" s="10">
        <v>5</v>
      </c>
      <c r="Z226" s="10" t="s">
        <v>367</v>
      </c>
      <c r="AA226" s="10" t="s">
        <v>35</v>
      </c>
      <c r="AB226" s="10" t="s">
        <v>368</v>
      </c>
      <c r="AC226" s="10" t="s">
        <v>368</v>
      </c>
      <c r="AD226" s="10" t="s">
        <v>294</v>
      </c>
      <c r="AE226" s="10">
        <v>0.209317</v>
      </c>
      <c r="AF226" s="10" t="s">
        <v>218</v>
      </c>
      <c r="AG226" s="10">
        <v>1</v>
      </c>
    </row>
    <row r="227" spans="25:33" x14ac:dyDescent="0.25">
      <c r="Y227" s="10">
        <v>5</v>
      </c>
      <c r="Z227" s="10" t="s">
        <v>415</v>
      </c>
      <c r="AA227" s="10" t="s">
        <v>35</v>
      </c>
      <c r="AB227" s="10" t="s">
        <v>368</v>
      </c>
      <c r="AC227" s="10" t="s">
        <v>368</v>
      </c>
      <c r="AD227" s="10" t="s">
        <v>294</v>
      </c>
      <c r="AE227" s="10">
        <v>0.16674600000000001</v>
      </c>
      <c r="AF227" s="10" t="s">
        <v>218</v>
      </c>
      <c r="AG227" s="10">
        <v>1</v>
      </c>
    </row>
    <row r="228" spans="25:33" x14ac:dyDescent="0.25">
      <c r="Y228" s="10">
        <v>5</v>
      </c>
      <c r="Z228" s="10" t="s">
        <v>416</v>
      </c>
      <c r="AA228" s="10" t="s">
        <v>35</v>
      </c>
      <c r="AB228" s="10" t="s">
        <v>417</v>
      </c>
      <c r="AC228" s="10" t="s">
        <v>418</v>
      </c>
      <c r="AD228" s="10" t="s">
        <v>23</v>
      </c>
      <c r="AE228" s="10">
        <v>5.1763199999999999E-3</v>
      </c>
      <c r="AF228" s="10" t="s">
        <v>19</v>
      </c>
      <c r="AG228" s="10">
        <v>1</v>
      </c>
    </row>
    <row r="229" spans="25:33" x14ac:dyDescent="0.25">
      <c r="Y229" s="10">
        <v>5</v>
      </c>
      <c r="Z229" s="10" t="s">
        <v>419</v>
      </c>
      <c r="AA229" s="10" t="s">
        <v>35</v>
      </c>
      <c r="AB229" s="10" t="s">
        <v>370</v>
      </c>
      <c r="AC229" s="10" t="s">
        <v>144</v>
      </c>
      <c r="AD229" s="10" t="s">
        <v>23</v>
      </c>
      <c r="AE229" s="10">
        <v>7.7575400000000003E-2</v>
      </c>
      <c r="AF229" s="10" t="s">
        <v>19</v>
      </c>
      <c r="AG229" s="10">
        <v>1</v>
      </c>
    </row>
    <row r="230" spans="25:33" x14ac:dyDescent="0.25">
      <c r="Y230" s="9">
        <v>4</v>
      </c>
      <c r="Z230" s="9" t="s">
        <v>420</v>
      </c>
      <c r="AA230" s="9" t="s">
        <v>70</v>
      </c>
      <c r="AB230" s="9" t="s">
        <v>421</v>
      </c>
      <c r="AC230" s="9" t="s">
        <v>421</v>
      </c>
      <c r="AF230" s="9" t="s">
        <v>218</v>
      </c>
      <c r="AG230" s="9">
        <v>1</v>
      </c>
    </row>
    <row r="231" spans="25:33" x14ac:dyDescent="0.25">
      <c r="Y231" s="10">
        <v>5</v>
      </c>
      <c r="Z231" s="10" t="s">
        <v>373</v>
      </c>
      <c r="AA231" s="10" t="s">
        <v>70</v>
      </c>
      <c r="AB231" s="10" t="s">
        <v>374</v>
      </c>
      <c r="AC231" s="10" t="s">
        <v>375</v>
      </c>
      <c r="AD231" s="10" t="s">
        <v>335</v>
      </c>
      <c r="AE231" s="10">
        <v>5.5232399999999996E-3</v>
      </c>
      <c r="AF231" s="10" t="s">
        <v>218</v>
      </c>
      <c r="AG231" s="10">
        <v>1</v>
      </c>
    </row>
    <row r="232" spans="25:33" x14ac:dyDescent="0.25">
      <c r="Y232" s="10">
        <v>5</v>
      </c>
      <c r="Z232" s="10" t="s">
        <v>422</v>
      </c>
      <c r="AA232" s="10" t="s">
        <v>25</v>
      </c>
      <c r="AB232" s="10" t="s">
        <v>332</v>
      </c>
      <c r="AC232" s="10" t="s">
        <v>332</v>
      </c>
      <c r="AF232" s="10"/>
      <c r="AG232" s="10">
        <v>1</v>
      </c>
    </row>
    <row r="233" spans="25:33" x14ac:dyDescent="0.25">
      <c r="Y233" s="9">
        <v>6</v>
      </c>
      <c r="Z233" s="9" t="s">
        <v>377</v>
      </c>
      <c r="AA233" s="9" t="s">
        <v>25</v>
      </c>
      <c r="AB233" s="9" t="s">
        <v>378</v>
      </c>
      <c r="AC233" s="9" t="s">
        <v>378</v>
      </c>
      <c r="AD233" s="9" t="s">
        <v>335</v>
      </c>
      <c r="AE233" s="9">
        <v>1.86838E-3</v>
      </c>
      <c r="AF233" s="9"/>
      <c r="AG233" s="9">
        <v>1</v>
      </c>
    </row>
    <row r="234" spans="25:33" x14ac:dyDescent="0.25">
      <c r="Y234" s="9">
        <v>6</v>
      </c>
      <c r="Z234" s="9" t="s">
        <v>379</v>
      </c>
      <c r="AA234" s="9" t="s">
        <v>25</v>
      </c>
      <c r="AB234" s="9" t="s">
        <v>380</v>
      </c>
      <c r="AC234" s="9" t="s">
        <v>380</v>
      </c>
      <c r="AD234" s="9" t="s">
        <v>381</v>
      </c>
      <c r="AE234" s="9">
        <v>6.10573E-4</v>
      </c>
      <c r="AF234" s="9"/>
      <c r="AG234" s="9">
        <v>1</v>
      </c>
    </row>
    <row r="235" spans="25:33" x14ac:dyDescent="0.25">
      <c r="Y235" s="9">
        <v>6</v>
      </c>
      <c r="Z235" s="9" t="s">
        <v>382</v>
      </c>
      <c r="AA235" s="9" t="s">
        <v>25</v>
      </c>
      <c r="AB235" s="9" t="s">
        <v>383</v>
      </c>
      <c r="AC235" s="9" t="s">
        <v>383</v>
      </c>
      <c r="AD235" s="9" t="s">
        <v>335</v>
      </c>
      <c r="AE235" s="9">
        <v>1.0934899999999999E-3</v>
      </c>
      <c r="AF235" s="9"/>
      <c r="AG235" s="9">
        <v>1</v>
      </c>
    </row>
    <row r="236" spans="25:33" x14ac:dyDescent="0.25">
      <c r="Y236" s="9">
        <v>6</v>
      </c>
      <c r="Z236" s="9" t="s">
        <v>423</v>
      </c>
      <c r="AA236" s="9" t="s">
        <v>25</v>
      </c>
      <c r="AB236" s="9" t="s">
        <v>334</v>
      </c>
      <c r="AC236" s="9" t="s">
        <v>334</v>
      </c>
      <c r="AD236" s="9" t="s">
        <v>335</v>
      </c>
      <c r="AE236" s="9">
        <v>0.31324000000000002</v>
      </c>
      <c r="AF236" s="9"/>
      <c r="AG236" s="9">
        <v>1</v>
      </c>
    </row>
    <row r="237" spans="25:33" x14ac:dyDescent="0.25">
      <c r="Y237" s="9">
        <v>6</v>
      </c>
      <c r="Z237" s="9" t="s">
        <v>424</v>
      </c>
      <c r="AA237" s="9" t="s">
        <v>25</v>
      </c>
      <c r="AB237" s="9" t="s">
        <v>339</v>
      </c>
      <c r="AC237" s="9" t="s">
        <v>339</v>
      </c>
      <c r="AD237" s="9" t="s">
        <v>335</v>
      </c>
      <c r="AE237" s="9">
        <v>0.62309199999999998</v>
      </c>
      <c r="AF237" s="9"/>
      <c r="AG237" s="9">
        <v>1</v>
      </c>
    </row>
    <row r="238" spans="25:33" x14ac:dyDescent="0.25">
      <c r="Y238" s="9">
        <v>6</v>
      </c>
      <c r="Z238" s="9" t="s">
        <v>425</v>
      </c>
      <c r="AA238" s="9" t="s">
        <v>25</v>
      </c>
      <c r="AB238" s="9" t="s">
        <v>337</v>
      </c>
      <c r="AC238" s="9" t="s">
        <v>337</v>
      </c>
      <c r="AD238" s="9" t="s">
        <v>335</v>
      </c>
      <c r="AE238" s="9">
        <v>0.30796499999999999</v>
      </c>
      <c r="AF238" s="9"/>
      <c r="AG238" s="9">
        <v>1</v>
      </c>
    </row>
    <row r="239" spans="25:33" x14ac:dyDescent="0.25">
      <c r="Y239" s="9">
        <v>6</v>
      </c>
      <c r="Z239" s="9" t="s">
        <v>426</v>
      </c>
      <c r="AA239" s="9" t="s">
        <v>25</v>
      </c>
      <c r="AB239" s="9" t="s">
        <v>341</v>
      </c>
      <c r="AC239" s="9" t="s">
        <v>341</v>
      </c>
      <c r="AD239" s="9" t="s">
        <v>335</v>
      </c>
      <c r="AE239" s="9">
        <v>1.1862699999999999</v>
      </c>
      <c r="AF239" s="9"/>
      <c r="AG239" s="9">
        <v>1</v>
      </c>
    </row>
    <row r="240" spans="25:33" x14ac:dyDescent="0.25">
      <c r="Y240" s="9">
        <v>4</v>
      </c>
      <c r="Z240" s="9" t="s">
        <v>427</v>
      </c>
      <c r="AA240" s="9" t="s">
        <v>35</v>
      </c>
      <c r="AB240" s="9" t="s">
        <v>389</v>
      </c>
      <c r="AC240" s="9" t="s">
        <v>390</v>
      </c>
      <c r="AD240" s="9" t="s">
        <v>391</v>
      </c>
      <c r="AE240" s="9">
        <v>2.2257699999999998E-2</v>
      </c>
      <c r="AF240" s="9" t="s">
        <v>165</v>
      </c>
      <c r="AG240" s="9">
        <v>2</v>
      </c>
    </row>
    <row r="241" spans="25:33" x14ac:dyDescent="0.25">
      <c r="Y241" s="9">
        <v>4</v>
      </c>
      <c r="Z241" s="9" t="s">
        <v>392</v>
      </c>
      <c r="AA241" s="9" t="s">
        <v>35</v>
      </c>
      <c r="AB241" s="9"/>
      <c r="AC241" s="9" t="s">
        <v>9</v>
      </c>
      <c r="AD241" s="9" t="s">
        <v>27</v>
      </c>
      <c r="AE241" s="9"/>
      <c r="AF241" s="9"/>
      <c r="AG241" s="9">
        <v>6</v>
      </c>
    </row>
    <row r="242" spans="25:33" x14ac:dyDescent="0.25">
      <c r="Y242" s="9">
        <v>4</v>
      </c>
      <c r="Z242" s="9" t="s">
        <v>10</v>
      </c>
      <c r="AA242" s="9" t="s">
        <v>25</v>
      </c>
      <c r="AB242" s="9"/>
      <c r="AC242" s="9" t="s">
        <v>9</v>
      </c>
      <c r="AD242" s="9" t="s">
        <v>27</v>
      </c>
      <c r="AE242" s="9"/>
      <c r="AF242" s="9"/>
      <c r="AG242" s="9">
        <v>6</v>
      </c>
    </row>
    <row r="243" spans="25:33" x14ac:dyDescent="0.25">
      <c r="Y243" s="10">
        <v>3</v>
      </c>
      <c r="Z243" s="10" t="s">
        <v>428</v>
      </c>
      <c r="AA243" s="10" t="s">
        <v>17</v>
      </c>
      <c r="AB243" s="10" t="s">
        <v>429</v>
      </c>
      <c r="AC243" s="10" t="s">
        <v>430</v>
      </c>
      <c r="AF243" s="10" t="s">
        <v>223</v>
      </c>
      <c r="AG243" s="10">
        <v>1</v>
      </c>
    </row>
    <row r="244" spans="25:33" x14ac:dyDescent="0.25">
      <c r="Y244" s="9">
        <v>4</v>
      </c>
      <c r="Z244" s="9" t="s">
        <v>431</v>
      </c>
      <c r="AA244" s="9" t="s">
        <v>25</v>
      </c>
      <c r="AB244" s="9" t="s">
        <v>432</v>
      </c>
      <c r="AC244" s="9" t="s">
        <v>432</v>
      </c>
      <c r="AD244" s="9"/>
      <c r="AE244" s="9">
        <v>0</v>
      </c>
      <c r="AF244" s="9"/>
      <c r="AG244" s="9">
        <v>1</v>
      </c>
    </row>
    <row r="245" spans="25:33" x14ac:dyDescent="0.25">
      <c r="Y245" s="9">
        <v>4</v>
      </c>
      <c r="Z245" s="9" t="s">
        <v>433</v>
      </c>
      <c r="AA245" s="9" t="s">
        <v>17</v>
      </c>
      <c r="AB245" s="9" t="s">
        <v>434</v>
      </c>
      <c r="AC245" s="9" t="s">
        <v>435</v>
      </c>
      <c r="AD245" s="9" t="s">
        <v>292</v>
      </c>
      <c r="AE245" s="9">
        <v>8.4753499999999996E-2</v>
      </c>
      <c r="AF245" s="9" t="s">
        <v>223</v>
      </c>
      <c r="AG245" s="9">
        <v>1</v>
      </c>
    </row>
    <row r="246" spans="25:33" x14ac:dyDescent="0.25">
      <c r="Y246" s="9">
        <v>4</v>
      </c>
      <c r="Z246" s="9" t="s">
        <v>436</v>
      </c>
      <c r="AA246" s="9" t="s">
        <v>25</v>
      </c>
      <c r="AB246" s="9"/>
      <c r="AC246" s="9" t="s">
        <v>437</v>
      </c>
      <c r="AD246" s="9"/>
      <c r="AE246" s="9">
        <v>0</v>
      </c>
      <c r="AF246" s="9"/>
      <c r="AG246" s="9">
        <v>1</v>
      </c>
    </row>
    <row r="247" spans="25:33" x14ac:dyDescent="0.25">
      <c r="Y247" s="10">
        <v>3</v>
      </c>
      <c r="Z247" s="10" t="s">
        <v>438</v>
      </c>
      <c r="AA247" s="10" t="s">
        <v>70</v>
      </c>
      <c r="AB247" s="10" t="s">
        <v>439</v>
      </c>
      <c r="AC247" s="10" t="s">
        <v>440</v>
      </c>
      <c r="AF247" s="10" t="s">
        <v>165</v>
      </c>
      <c r="AG247" s="10">
        <v>1</v>
      </c>
    </row>
    <row r="248" spans="25:33" x14ac:dyDescent="0.25">
      <c r="Y248" s="9">
        <v>4</v>
      </c>
      <c r="Z248" s="9" t="s">
        <v>441</v>
      </c>
      <c r="AA248" s="9" t="s">
        <v>70</v>
      </c>
      <c r="AB248" s="9" t="s">
        <v>442</v>
      </c>
      <c r="AC248" s="9" t="s">
        <v>443</v>
      </c>
      <c r="AD248" s="9" t="s">
        <v>292</v>
      </c>
      <c r="AE248" s="9">
        <v>0.58598499999999998</v>
      </c>
      <c r="AF248" s="9" t="s">
        <v>165</v>
      </c>
      <c r="AG248" s="9">
        <v>1</v>
      </c>
    </row>
    <row r="249" spans="25:33" x14ac:dyDescent="0.25">
      <c r="Y249" s="9">
        <v>4</v>
      </c>
      <c r="Z249" s="9" t="s">
        <v>444</v>
      </c>
      <c r="AA249" s="9" t="s">
        <v>25</v>
      </c>
      <c r="AB249" s="9"/>
      <c r="AC249" s="9" t="s">
        <v>445</v>
      </c>
      <c r="AD249" s="9" t="s">
        <v>176</v>
      </c>
      <c r="AE249" s="9"/>
      <c r="AF249" s="9"/>
      <c r="AG249" s="9">
        <v>7</v>
      </c>
    </row>
    <row r="250" spans="25:33" x14ac:dyDescent="0.25">
      <c r="Y250" s="10">
        <v>3</v>
      </c>
      <c r="Z250" s="10" t="s">
        <v>446</v>
      </c>
      <c r="AA250" s="10" t="s">
        <v>78</v>
      </c>
      <c r="AB250" s="10" t="s">
        <v>447</v>
      </c>
      <c r="AC250" s="10" t="s">
        <v>447</v>
      </c>
      <c r="AF250" s="10" t="s">
        <v>150</v>
      </c>
      <c r="AG250" s="10">
        <v>1</v>
      </c>
    </row>
    <row r="251" spans="25:33" x14ac:dyDescent="0.25">
      <c r="Y251" s="9">
        <v>4</v>
      </c>
      <c r="Z251" s="9" t="s">
        <v>448</v>
      </c>
      <c r="AA251" s="9" t="s">
        <v>78</v>
      </c>
      <c r="AB251" s="9" t="s">
        <v>449</v>
      </c>
      <c r="AC251" s="9" t="s">
        <v>443</v>
      </c>
      <c r="AD251" s="9" t="s">
        <v>292</v>
      </c>
      <c r="AE251" s="9">
        <v>1.8724799999999999</v>
      </c>
      <c r="AF251" s="9" t="s">
        <v>150</v>
      </c>
      <c r="AG251" s="9">
        <v>1</v>
      </c>
    </row>
    <row r="252" spans="25:33" x14ac:dyDescent="0.25">
      <c r="Y252" s="9">
        <v>4</v>
      </c>
      <c r="Z252" s="9" t="s">
        <v>444</v>
      </c>
      <c r="AA252" s="9" t="s">
        <v>25</v>
      </c>
      <c r="AB252" s="9"/>
      <c r="AC252" s="9" t="s">
        <v>445</v>
      </c>
      <c r="AD252" s="9" t="s">
        <v>176</v>
      </c>
      <c r="AE252" s="9"/>
      <c r="AF252" s="9"/>
      <c r="AG252" s="9">
        <v>7</v>
      </c>
    </row>
    <row r="253" spans="25:33" x14ac:dyDescent="0.25">
      <c r="Y253" s="10">
        <v>3</v>
      </c>
      <c r="Z253" s="10" t="s">
        <v>450</v>
      </c>
      <c r="AA253" s="10" t="s">
        <v>227</v>
      </c>
      <c r="AB253" s="10" t="s">
        <v>451</v>
      </c>
      <c r="AC253" s="10" t="s">
        <v>452</v>
      </c>
      <c r="AF253" s="10" t="s">
        <v>218</v>
      </c>
      <c r="AG253" s="10">
        <v>1</v>
      </c>
    </row>
    <row r="254" spans="25:33" x14ac:dyDescent="0.25">
      <c r="Y254" s="9">
        <v>4</v>
      </c>
      <c r="Z254" s="9" t="s">
        <v>453</v>
      </c>
      <c r="AA254" s="9" t="s">
        <v>106</v>
      </c>
      <c r="AB254" s="9" t="s">
        <v>451</v>
      </c>
      <c r="AC254" s="9" t="s">
        <v>452</v>
      </c>
      <c r="AF254" s="9" t="s">
        <v>19</v>
      </c>
      <c r="AG254" s="9">
        <v>1</v>
      </c>
    </row>
    <row r="255" spans="25:33" x14ac:dyDescent="0.25">
      <c r="Y255" s="10">
        <v>5</v>
      </c>
      <c r="Z255" s="10" t="s">
        <v>454</v>
      </c>
      <c r="AA255" s="10" t="s">
        <v>106</v>
      </c>
      <c r="AB255" s="10" t="s">
        <v>220</v>
      </c>
      <c r="AC255" s="10" t="s">
        <v>22</v>
      </c>
      <c r="AD255" s="10" t="s">
        <v>80</v>
      </c>
      <c r="AE255" s="10">
        <v>6.6117999999999996E-2</v>
      </c>
      <c r="AF255" s="10" t="s">
        <v>19</v>
      </c>
      <c r="AG255" s="10">
        <v>1</v>
      </c>
    </row>
    <row r="256" spans="25:33" x14ac:dyDescent="0.25">
      <c r="Y256" s="10">
        <v>5</v>
      </c>
      <c r="Z256" s="10" t="s">
        <v>83</v>
      </c>
      <c r="AA256" s="10" t="s">
        <v>25</v>
      </c>
      <c r="AB256" s="10" t="s">
        <v>57</v>
      </c>
      <c r="AC256" s="10" t="s">
        <v>57</v>
      </c>
      <c r="AD256" s="10" t="s">
        <v>27</v>
      </c>
      <c r="AE256" s="10">
        <v>1.78746E-3</v>
      </c>
      <c r="AF256" s="10"/>
      <c r="AG256" s="10">
        <v>4</v>
      </c>
    </row>
    <row r="257" spans="25:33" x14ac:dyDescent="0.25">
      <c r="Y257" s="10">
        <v>5</v>
      </c>
      <c r="Z257" s="10" t="s">
        <v>84</v>
      </c>
      <c r="AA257" s="10" t="s">
        <v>25</v>
      </c>
      <c r="AB257" s="10" t="s">
        <v>50</v>
      </c>
      <c r="AC257" s="10" t="s">
        <v>50</v>
      </c>
      <c r="AD257" s="10" t="s">
        <v>27</v>
      </c>
      <c r="AE257" s="10"/>
      <c r="AF257" s="10"/>
      <c r="AG257" s="10">
        <v>12</v>
      </c>
    </row>
    <row r="258" spans="25:33" x14ac:dyDescent="0.25">
      <c r="Y258" s="9">
        <v>4</v>
      </c>
      <c r="Z258" s="9" t="s">
        <v>231</v>
      </c>
      <c r="AA258" s="9" t="s">
        <v>29</v>
      </c>
      <c r="AB258" s="9" t="s">
        <v>232</v>
      </c>
      <c r="AC258" s="9" t="s">
        <v>232</v>
      </c>
      <c r="AF258" s="9" t="s">
        <v>218</v>
      </c>
      <c r="AG258" s="9">
        <v>2</v>
      </c>
    </row>
    <row r="259" spans="25:33" x14ac:dyDescent="0.25">
      <c r="Y259" s="10">
        <v>5</v>
      </c>
      <c r="Z259" s="10" t="s">
        <v>233</v>
      </c>
      <c r="AA259" s="10" t="s">
        <v>25</v>
      </c>
      <c r="AB259" s="10" t="s">
        <v>234</v>
      </c>
      <c r="AC259" s="10" t="s">
        <v>235</v>
      </c>
      <c r="AD259" s="10" t="s">
        <v>236</v>
      </c>
      <c r="AE259" s="10">
        <v>8.4709199999999998E-3</v>
      </c>
      <c r="AF259" s="10"/>
      <c r="AG259" s="10">
        <v>1</v>
      </c>
    </row>
    <row r="260" spans="25:33" x14ac:dyDescent="0.25">
      <c r="Y260" s="10">
        <v>5</v>
      </c>
      <c r="Z260" s="10" t="s">
        <v>237</v>
      </c>
      <c r="AA260" s="10" t="s">
        <v>25</v>
      </c>
      <c r="AB260" s="10" t="s">
        <v>235</v>
      </c>
      <c r="AC260" s="10" t="s">
        <v>235</v>
      </c>
      <c r="AD260" s="10" t="s">
        <v>236</v>
      </c>
      <c r="AE260" s="10">
        <v>2.1868200000000001E-2</v>
      </c>
      <c r="AF260" s="10"/>
      <c r="AG260" s="10">
        <v>1</v>
      </c>
    </row>
    <row r="261" spans="25:33" x14ac:dyDescent="0.25">
      <c r="Y261" s="10">
        <v>5</v>
      </c>
      <c r="Z261" s="10" t="s">
        <v>238</v>
      </c>
      <c r="AA261" s="10" t="s">
        <v>35</v>
      </c>
      <c r="AB261" s="10" t="s">
        <v>239</v>
      </c>
      <c r="AC261" s="10" t="s">
        <v>239</v>
      </c>
      <c r="AD261" s="10" t="s">
        <v>101</v>
      </c>
      <c r="AE261" s="10">
        <v>1.32763E-2</v>
      </c>
      <c r="AF261" s="10" t="s">
        <v>150</v>
      </c>
      <c r="AG261" s="10">
        <v>1</v>
      </c>
    </row>
    <row r="262" spans="25:33" x14ac:dyDescent="0.25">
      <c r="Y262" s="10">
        <v>5</v>
      </c>
      <c r="Z262" s="10" t="s">
        <v>240</v>
      </c>
      <c r="AA262" s="10" t="s">
        <v>25</v>
      </c>
      <c r="AB262" s="10"/>
      <c r="AC262" s="10" t="s">
        <v>178</v>
      </c>
      <c r="AD262" s="10" t="s">
        <v>27</v>
      </c>
      <c r="AE262" s="10"/>
      <c r="AF262" s="10"/>
      <c r="AG262" s="10">
        <v>2</v>
      </c>
    </row>
    <row r="263" spans="25:33" x14ac:dyDescent="0.25">
      <c r="Y263" s="10">
        <v>5</v>
      </c>
      <c r="Z263" s="10" t="s">
        <v>241</v>
      </c>
      <c r="AA263" s="10" t="s">
        <v>25</v>
      </c>
      <c r="AB263" s="10"/>
      <c r="AC263" s="10" t="s">
        <v>178</v>
      </c>
      <c r="AD263" s="10" t="s">
        <v>27</v>
      </c>
      <c r="AE263" s="10"/>
      <c r="AF263" s="10"/>
      <c r="AG263" s="10">
        <v>2</v>
      </c>
    </row>
    <row r="264" spans="25:33" x14ac:dyDescent="0.25">
      <c r="Y264" s="9">
        <v>4</v>
      </c>
      <c r="Z264" s="9" t="s">
        <v>245</v>
      </c>
      <c r="AA264" s="9" t="s">
        <v>35</v>
      </c>
      <c r="AB264" s="9" t="s">
        <v>246</v>
      </c>
      <c r="AC264" s="9" t="s">
        <v>246</v>
      </c>
      <c r="AF264" s="9"/>
      <c r="AG264" s="9">
        <v>2</v>
      </c>
    </row>
    <row r="265" spans="25:33" x14ac:dyDescent="0.25">
      <c r="Y265" s="10">
        <v>5</v>
      </c>
      <c r="Z265" s="10" t="s">
        <v>247</v>
      </c>
      <c r="AA265" s="10" t="s">
        <v>35</v>
      </c>
      <c r="AB265" s="10" t="s">
        <v>198</v>
      </c>
      <c r="AC265" s="10" t="s">
        <v>198</v>
      </c>
      <c r="AD265" s="10" t="s">
        <v>101</v>
      </c>
      <c r="AE265" s="10">
        <v>7.7510699999999997E-3</v>
      </c>
      <c r="AF265" s="10"/>
      <c r="AG265" s="10">
        <v>1</v>
      </c>
    </row>
    <row r="266" spans="25:33" x14ac:dyDescent="0.25">
      <c r="Y266" s="10">
        <v>5</v>
      </c>
      <c r="Z266" s="10" t="s">
        <v>199</v>
      </c>
      <c r="AA266" s="10" t="s">
        <v>25</v>
      </c>
      <c r="AB266" s="10"/>
      <c r="AC266" s="10" t="s">
        <v>200</v>
      </c>
      <c r="AD266" s="10" t="s">
        <v>27</v>
      </c>
      <c r="AE266" s="10"/>
      <c r="AF266" s="10"/>
      <c r="AG266" s="10">
        <v>1</v>
      </c>
    </row>
    <row r="267" spans="25:33" x14ac:dyDescent="0.25">
      <c r="Y267" s="9">
        <v>4</v>
      </c>
      <c r="Z267" s="9" t="s">
        <v>455</v>
      </c>
      <c r="AA267" s="9" t="s">
        <v>25</v>
      </c>
      <c r="AB267" s="9" t="s">
        <v>456</v>
      </c>
      <c r="AC267" s="9" t="s">
        <v>457</v>
      </c>
      <c r="AD267" s="9"/>
      <c r="AE267" s="9">
        <v>1.20853E-2</v>
      </c>
      <c r="AF267" s="9"/>
      <c r="AG267" s="9">
        <v>2</v>
      </c>
    </row>
    <row r="268" spans="25:33" x14ac:dyDescent="0.25">
      <c r="Y268" s="9">
        <v>4</v>
      </c>
      <c r="Z268" s="9" t="s">
        <v>458</v>
      </c>
      <c r="AA268" s="9" t="s">
        <v>459</v>
      </c>
      <c r="AB268" s="9" t="s">
        <v>460</v>
      </c>
      <c r="AC268" s="9" t="s">
        <v>460</v>
      </c>
      <c r="AD268" s="9" t="s">
        <v>101</v>
      </c>
      <c r="AE268" s="9">
        <v>7.6271400000000001E-3</v>
      </c>
      <c r="AF268" s="9" t="s">
        <v>218</v>
      </c>
      <c r="AG268" s="9">
        <v>4</v>
      </c>
    </row>
    <row r="269" spans="25:33" x14ac:dyDescent="0.25">
      <c r="Y269" s="9">
        <v>4</v>
      </c>
      <c r="Z269" s="9" t="s">
        <v>257</v>
      </c>
      <c r="AA269" s="9" t="s">
        <v>25</v>
      </c>
      <c r="AB269" s="9"/>
      <c r="AC269" s="9" t="s">
        <v>7</v>
      </c>
      <c r="AD269" s="9" t="s">
        <v>27</v>
      </c>
      <c r="AE269" s="9"/>
      <c r="AF269" s="9"/>
      <c r="AG269" s="9">
        <v>4</v>
      </c>
    </row>
    <row r="270" spans="25:33" x14ac:dyDescent="0.25">
      <c r="Y270" s="9">
        <v>4</v>
      </c>
      <c r="Z270" s="9" t="s">
        <v>259</v>
      </c>
      <c r="AA270" s="9" t="s">
        <v>35</v>
      </c>
      <c r="AB270" s="9"/>
      <c r="AC270" s="9" t="s">
        <v>260</v>
      </c>
      <c r="AD270" s="9" t="s">
        <v>27</v>
      </c>
      <c r="AE270" s="9">
        <v>3.5726600000000002E-4</v>
      </c>
      <c r="AF270" s="9"/>
      <c r="AG270" s="9">
        <v>4</v>
      </c>
    </row>
    <row r="271" spans="25:33" x14ac:dyDescent="0.25">
      <c r="Y271" s="9">
        <v>4</v>
      </c>
      <c r="Z271" s="9" t="s">
        <v>461</v>
      </c>
      <c r="AA271" s="9" t="s">
        <v>35</v>
      </c>
      <c r="AB271" s="9"/>
      <c r="AC271" s="9" t="s">
        <v>462</v>
      </c>
      <c r="AD271" s="9" t="s">
        <v>27</v>
      </c>
      <c r="AE271" s="9"/>
      <c r="AF271" s="9"/>
      <c r="AG271" s="9">
        <v>8</v>
      </c>
    </row>
    <row r="272" spans="25:33" x14ac:dyDescent="0.25">
      <c r="Y272" s="9">
        <v>4</v>
      </c>
      <c r="Z272" s="9" t="s">
        <v>463</v>
      </c>
      <c r="AA272" s="9" t="s">
        <v>25</v>
      </c>
      <c r="AB272" s="9"/>
      <c r="AC272" s="9" t="s">
        <v>464</v>
      </c>
      <c r="AD272" s="9" t="s">
        <v>27</v>
      </c>
      <c r="AE272" s="9"/>
      <c r="AF272" s="9"/>
      <c r="AG272" s="9">
        <v>8</v>
      </c>
    </row>
    <row r="273" spans="25:33" x14ac:dyDescent="0.25">
      <c r="Y273" s="10">
        <v>3</v>
      </c>
      <c r="Z273" s="10" t="s">
        <v>465</v>
      </c>
      <c r="AA273" s="10" t="s">
        <v>459</v>
      </c>
      <c r="AB273" s="10" t="s">
        <v>466</v>
      </c>
      <c r="AC273" s="10" t="s">
        <v>467</v>
      </c>
      <c r="AD273" s="10" t="s">
        <v>468</v>
      </c>
      <c r="AE273" s="10">
        <v>0.312637</v>
      </c>
      <c r="AF273" s="10" t="s">
        <v>165</v>
      </c>
      <c r="AG273" s="10">
        <v>1</v>
      </c>
    </row>
    <row r="274" spans="25:33" x14ac:dyDescent="0.25">
      <c r="Y274" s="10">
        <v>3</v>
      </c>
      <c r="Z274" s="10" t="s">
        <v>469</v>
      </c>
      <c r="AA274" s="10" t="s">
        <v>131</v>
      </c>
      <c r="AB274" s="10" t="s">
        <v>470</v>
      </c>
      <c r="AC274" s="10" t="s">
        <v>470</v>
      </c>
      <c r="AF274" s="10" t="s">
        <v>218</v>
      </c>
      <c r="AG274" s="10">
        <v>1</v>
      </c>
    </row>
    <row r="275" spans="25:33" x14ac:dyDescent="0.25">
      <c r="Y275" s="9">
        <v>4</v>
      </c>
      <c r="Z275" s="9" t="s">
        <v>471</v>
      </c>
      <c r="AA275" s="9" t="s">
        <v>472</v>
      </c>
      <c r="AB275" s="9" t="s">
        <v>473</v>
      </c>
      <c r="AC275" s="9" t="s">
        <v>474</v>
      </c>
      <c r="AF275" s="9" t="s">
        <v>19</v>
      </c>
      <c r="AG275" s="9">
        <v>1</v>
      </c>
    </row>
    <row r="276" spans="25:33" x14ac:dyDescent="0.25">
      <c r="Y276" s="10">
        <v>5</v>
      </c>
      <c r="Z276" s="10" t="s">
        <v>475</v>
      </c>
      <c r="AA276" s="10" t="s">
        <v>472</v>
      </c>
      <c r="AB276" s="10" t="s">
        <v>476</v>
      </c>
      <c r="AC276" s="10" t="s">
        <v>22</v>
      </c>
      <c r="AD276" s="10" t="s">
        <v>477</v>
      </c>
      <c r="AE276" s="10" t="s">
        <v>478</v>
      </c>
      <c r="AF276" s="10" t="s">
        <v>19</v>
      </c>
      <c r="AG276" s="10">
        <v>1</v>
      </c>
    </row>
    <row r="277" spans="25:33" x14ac:dyDescent="0.25">
      <c r="Y277" s="10">
        <v>5</v>
      </c>
      <c r="Z277" s="10" t="s">
        <v>49</v>
      </c>
      <c r="AA277" s="10" t="s">
        <v>25</v>
      </c>
      <c r="AB277" s="10" t="s">
        <v>50</v>
      </c>
      <c r="AC277" s="10" t="s">
        <v>50</v>
      </c>
      <c r="AD277" s="10" t="s">
        <v>27</v>
      </c>
      <c r="AE277" s="10"/>
      <c r="AF277" s="10"/>
      <c r="AG277" s="10">
        <v>8</v>
      </c>
    </row>
    <row r="278" spans="25:33" ht="30" x14ac:dyDescent="0.25">
      <c r="Y278" s="9">
        <v>4</v>
      </c>
      <c r="Z278" s="9" t="s">
        <v>479</v>
      </c>
      <c r="AA278" s="9" t="s">
        <v>131</v>
      </c>
      <c r="AB278" s="11" t="s">
        <v>480</v>
      </c>
      <c r="AC278" s="9" t="s">
        <v>481</v>
      </c>
      <c r="AD278" s="9" t="s">
        <v>292</v>
      </c>
      <c r="AE278" s="9">
        <v>0.54386199999999996</v>
      </c>
      <c r="AF278" s="9" t="s">
        <v>165</v>
      </c>
      <c r="AG278" s="9">
        <v>1</v>
      </c>
    </row>
    <row r="279" spans="25:33" x14ac:dyDescent="0.25">
      <c r="Y279" s="9">
        <v>4</v>
      </c>
      <c r="Z279" s="9" t="s">
        <v>482</v>
      </c>
      <c r="AA279" s="9" t="s">
        <v>131</v>
      </c>
      <c r="AB279" s="9" t="s">
        <v>483</v>
      </c>
      <c r="AC279" s="9" t="s">
        <v>483</v>
      </c>
      <c r="AD279" s="9" t="s">
        <v>297</v>
      </c>
      <c r="AE279" s="9">
        <v>0.22735</v>
      </c>
      <c r="AF279" s="9" t="s">
        <v>289</v>
      </c>
      <c r="AG279" s="9">
        <v>1</v>
      </c>
    </row>
    <row r="280" spans="25:33" x14ac:dyDescent="0.25">
      <c r="Y280" s="9">
        <v>4</v>
      </c>
      <c r="Z280" s="9" t="s">
        <v>484</v>
      </c>
      <c r="AA280" s="9" t="s">
        <v>485</v>
      </c>
      <c r="AB280" s="9" t="s">
        <v>390</v>
      </c>
      <c r="AC280" s="9" t="s">
        <v>390</v>
      </c>
      <c r="AD280" s="9" t="s">
        <v>486</v>
      </c>
      <c r="AE280" s="9">
        <v>2.84973E-3</v>
      </c>
      <c r="AF280" s="9" t="s">
        <v>165</v>
      </c>
      <c r="AG280" s="9">
        <v>4</v>
      </c>
    </row>
    <row r="281" spans="25:33" ht="30" x14ac:dyDescent="0.25">
      <c r="Y281" s="9">
        <v>4</v>
      </c>
      <c r="Z281" s="9" t="s">
        <v>487</v>
      </c>
      <c r="AA281" s="9" t="s">
        <v>35</v>
      </c>
      <c r="AB281" s="11" t="s">
        <v>488</v>
      </c>
      <c r="AC281" s="9" t="s">
        <v>489</v>
      </c>
      <c r="AF281" s="9"/>
      <c r="AG281" s="9">
        <v>4</v>
      </c>
    </row>
    <row r="282" spans="25:33" x14ac:dyDescent="0.25">
      <c r="Y282" s="10">
        <v>5</v>
      </c>
      <c r="Z282" s="10" t="s">
        <v>490</v>
      </c>
      <c r="AA282" s="10" t="s">
        <v>35</v>
      </c>
      <c r="AB282" s="10" t="s">
        <v>198</v>
      </c>
      <c r="AC282" s="10" t="s">
        <v>198</v>
      </c>
      <c r="AD282" s="10" t="s">
        <v>101</v>
      </c>
      <c r="AE282" s="10">
        <v>7.3940999999999998E-3</v>
      </c>
      <c r="AF282" s="10"/>
      <c r="AG282" s="10">
        <v>1</v>
      </c>
    </row>
    <row r="283" spans="25:33" x14ac:dyDescent="0.25">
      <c r="Y283" s="10">
        <v>5</v>
      </c>
      <c r="Z283" s="10" t="s">
        <v>199</v>
      </c>
      <c r="AA283" s="10" t="s">
        <v>25</v>
      </c>
      <c r="AB283" s="10"/>
      <c r="AC283" s="10" t="s">
        <v>200</v>
      </c>
      <c r="AD283" s="10" t="s">
        <v>27</v>
      </c>
      <c r="AE283" s="10"/>
      <c r="AF283" s="10"/>
      <c r="AG283" s="10">
        <v>1</v>
      </c>
    </row>
    <row r="284" spans="25:33" x14ac:dyDescent="0.25">
      <c r="Y284" s="9">
        <v>4</v>
      </c>
      <c r="Z284" s="9" t="s">
        <v>259</v>
      </c>
      <c r="AA284" s="9" t="s">
        <v>35</v>
      </c>
      <c r="AB284" s="9"/>
      <c r="AC284" s="9" t="s">
        <v>260</v>
      </c>
      <c r="AD284" s="9" t="s">
        <v>27</v>
      </c>
      <c r="AE284" s="9">
        <v>3.5726600000000002E-4</v>
      </c>
      <c r="AF284" s="9"/>
      <c r="AG284" s="9">
        <v>8</v>
      </c>
    </row>
    <row r="285" spans="25:33" x14ac:dyDescent="0.25">
      <c r="Y285" s="9">
        <v>4</v>
      </c>
      <c r="Z285" s="9" t="s">
        <v>6</v>
      </c>
      <c r="AA285" s="9" t="s">
        <v>35</v>
      </c>
      <c r="AB285" s="9"/>
      <c r="AC285" s="9" t="s">
        <v>7</v>
      </c>
      <c r="AD285" s="9" t="s">
        <v>27</v>
      </c>
      <c r="AE285" s="9"/>
      <c r="AF285" s="9"/>
      <c r="AG285" s="9">
        <v>8</v>
      </c>
    </row>
    <row r="286" spans="25:33" x14ac:dyDescent="0.25">
      <c r="Y286" s="10">
        <v>3</v>
      </c>
      <c r="Z286" s="10" t="s">
        <v>491</v>
      </c>
      <c r="AA286" s="10" t="s">
        <v>29</v>
      </c>
      <c r="AB286" s="10"/>
      <c r="AC286" s="10" t="s">
        <v>492</v>
      </c>
      <c r="AF286" s="10" t="s">
        <v>223</v>
      </c>
      <c r="AG286" s="10">
        <v>1</v>
      </c>
    </row>
    <row r="287" spans="25:33" x14ac:dyDescent="0.25">
      <c r="Y287" s="9">
        <v>4</v>
      </c>
      <c r="Z287" s="9" t="s">
        <v>493</v>
      </c>
      <c r="AA287" s="9" t="s">
        <v>29</v>
      </c>
      <c r="AB287" s="9" t="s">
        <v>494</v>
      </c>
      <c r="AC287" s="9" t="s">
        <v>495</v>
      </c>
      <c r="AF287" s="9" t="s">
        <v>223</v>
      </c>
      <c r="AG287" s="9">
        <v>1</v>
      </c>
    </row>
    <row r="288" spans="25:33" ht="60" x14ac:dyDescent="0.25">
      <c r="Y288" s="10">
        <v>5</v>
      </c>
      <c r="Z288" s="10" t="s">
        <v>496</v>
      </c>
      <c r="AA288" s="10" t="s">
        <v>78</v>
      </c>
      <c r="AB288" s="12" t="s">
        <v>497</v>
      </c>
      <c r="AC288" s="10" t="s">
        <v>498</v>
      </c>
      <c r="AD288" s="10" t="s">
        <v>499</v>
      </c>
      <c r="AE288" s="13">
        <v>1.19855E-10</v>
      </c>
      <c r="AF288" s="10" t="s">
        <v>218</v>
      </c>
      <c r="AG288" s="10">
        <v>1</v>
      </c>
    </row>
    <row r="289" spans="25:33" x14ac:dyDescent="0.25">
      <c r="Y289" s="10">
        <v>5</v>
      </c>
      <c r="Z289" s="10" t="s">
        <v>500</v>
      </c>
      <c r="AA289" s="10" t="s">
        <v>78</v>
      </c>
      <c r="AB289" s="10" t="s">
        <v>501</v>
      </c>
      <c r="AC289" s="10" t="s">
        <v>502</v>
      </c>
      <c r="AD289" s="10" t="s">
        <v>297</v>
      </c>
      <c r="AE289" s="10">
        <v>0.42457800000000001</v>
      </c>
      <c r="AF289" s="10" t="s">
        <v>218</v>
      </c>
      <c r="AG289" s="10">
        <v>1</v>
      </c>
    </row>
    <row r="290" spans="25:33" x14ac:dyDescent="0.25">
      <c r="Y290" s="10">
        <v>5</v>
      </c>
      <c r="Z290" s="10" t="s">
        <v>503</v>
      </c>
      <c r="AA290" s="10" t="s">
        <v>29</v>
      </c>
      <c r="AB290" s="10" t="s">
        <v>504</v>
      </c>
      <c r="AC290" s="10" t="s">
        <v>327</v>
      </c>
      <c r="AD290" s="10" t="s">
        <v>292</v>
      </c>
      <c r="AE290" s="10">
        <v>9.9623799999999998E-2</v>
      </c>
      <c r="AF290" s="10" t="s">
        <v>223</v>
      </c>
      <c r="AG290" s="10">
        <v>1</v>
      </c>
    </row>
    <row r="291" spans="25:33" x14ac:dyDescent="0.25">
      <c r="Y291" s="10">
        <v>5</v>
      </c>
      <c r="Z291" s="10" t="s">
        <v>505</v>
      </c>
      <c r="AA291" s="10" t="s">
        <v>25</v>
      </c>
      <c r="AB291" s="10"/>
      <c r="AC291" s="10" t="s">
        <v>445</v>
      </c>
      <c r="AD291" s="10" t="s">
        <v>176</v>
      </c>
      <c r="AE291" s="10"/>
      <c r="AF291" s="10"/>
      <c r="AG291" s="10">
        <v>4</v>
      </c>
    </row>
    <row r="292" spans="25:33" x14ac:dyDescent="0.25">
      <c r="Y292" s="10">
        <v>5</v>
      </c>
      <c r="Z292" s="10" t="s">
        <v>506</v>
      </c>
      <c r="AA292" s="10" t="s">
        <v>25</v>
      </c>
      <c r="AB292" s="10"/>
      <c r="AC292" s="10" t="s">
        <v>507</v>
      </c>
      <c r="AD292" s="10" t="s">
        <v>27</v>
      </c>
      <c r="AE292" s="10"/>
      <c r="AF292" s="10"/>
      <c r="AG292" s="10">
        <v>4</v>
      </c>
    </row>
    <row r="293" spans="25:33" x14ac:dyDescent="0.25">
      <c r="Y293" s="10">
        <v>5</v>
      </c>
      <c r="Z293" s="10" t="s">
        <v>508</v>
      </c>
      <c r="AA293" s="10" t="s">
        <v>25</v>
      </c>
      <c r="AB293" s="10"/>
      <c r="AC293" s="10" t="s">
        <v>464</v>
      </c>
      <c r="AD293" s="10" t="s">
        <v>27</v>
      </c>
      <c r="AE293" s="10"/>
      <c r="AF293" s="10"/>
      <c r="AG293" s="10">
        <v>4</v>
      </c>
    </row>
    <row r="294" spans="25:33" x14ac:dyDescent="0.25">
      <c r="Y294" s="9">
        <v>4</v>
      </c>
      <c r="Z294" s="9" t="s">
        <v>509</v>
      </c>
      <c r="AA294" s="9" t="s">
        <v>29</v>
      </c>
      <c r="AB294" s="9" t="s">
        <v>510</v>
      </c>
      <c r="AC294" s="9" t="s">
        <v>510</v>
      </c>
      <c r="AD294" s="9" t="s">
        <v>292</v>
      </c>
      <c r="AE294" s="9">
        <v>0.12088599999999999</v>
      </c>
      <c r="AF294" s="9" t="s">
        <v>223</v>
      </c>
      <c r="AG294" s="9">
        <v>1</v>
      </c>
    </row>
    <row r="295" spans="25:33" x14ac:dyDescent="0.25">
      <c r="Y295" s="9">
        <v>4</v>
      </c>
      <c r="Z295" s="9" t="s">
        <v>511</v>
      </c>
      <c r="AA295" s="9" t="s">
        <v>29</v>
      </c>
      <c r="AB295" s="9" t="s">
        <v>512</v>
      </c>
      <c r="AC295" s="9" t="s">
        <v>495</v>
      </c>
      <c r="AF295" s="9" t="s">
        <v>223</v>
      </c>
      <c r="AG295" s="9">
        <v>1</v>
      </c>
    </row>
    <row r="296" spans="25:33" ht="60" x14ac:dyDescent="0.25">
      <c r="Y296" s="10">
        <v>5</v>
      </c>
      <c r="Z296" s="10" t="s">
        <v>513</v>
      </c>
      <c r="AA296" s="10" t="s">
        <v>78</v>
      </c>
      <c r="AB296" s="12" t="s">
        <v>514</v>
      </c>
      <c r="AC296" s="10" t="s">
        <v>498</v>
      </c>
      <c r="AD296" s="10" t="s">
        <v>499</v>
      </c>
      <c r="AE296" s="13">
        <v>1.46152E-10</v>
      </c>
      <c r="AF296" s="10" t="s">
        <v>218</v>
      </c>
      <c r="AG296" s="10">
        <v>1</v>
      </c>
    </row>
    <row r="297" spans="25:33" x14ac:dyDescent="0.25">
      <c r="Y297" s="10">
        <v>5</v>
      </c>
      <c r="Z297" s="10" t="s">
        <v>515</v>
      </c>
      <c r="AA297" s="10" t="s">
        <v>78</v>
      </c>
      <c r="AB297" s="10" t="s">
        <v>516</v>
      </c>
      <c r="AC297" s="10" t="s">
        <v>502</v>
      </c>
      <c r="AD297" s="10" t="s">
        <v>297</v>
      </c>
      <c r="AE297" s="10">
        <v>0.51760200000000001</v>
      </c>
      <c r="AF297" s="10" t="s">
        <v>218</v>
      </c>
      <c r="AG297" s="10">
        <v>1</v>
      </c>
    </row>
    <row r="298" spans="25:33" x14ac:dyDescent="0.25">
      <c r="Y298" s="10">
        <v>5</v>
      </c>
      <c r="Z298" s="10" t="s">
        <v>517</v>
      </c>
      <c r="AA298" s="10" t="s">
        <v>29</v>
      </c>
      <c r="AB298" s="10" t="s">
        <v>518</v>
      </c>
      <c r="AC298" s="10" t="s">
        <v>327</v>
      </c>
      <c r="AD298" s="10" t="s">
        <v>292</v>
      </c>
      <c r="AE298" s="10">
        <v>0.121527</v>
      </c>
      <c r="AF298" s="10" t="s">
        <v>223</v>
      </c>
      <c r="AG298" s="10">
        <v>1</v>
      </c>
    </row>
    <row r="299" spans="25:33" x14ac:dyDescent="0.25">
      <c r="Y299" s="10">
        <v>5</v>
      </c>
      <c r="Z299" s="10" t="s">
        <v>505</v>
      </c>
      <c r="AA299" s="10" t="s">
        <v>25</v>
      </c>
      <c r="AB299" s="10"/>
      <c r="AC299" s="10" t="s">
        <v>445</v>
      </c>
      <c r="AD299" s="10" t="s">
        <v>176</v>
      </c>
      <c r="AE299" s="10"/>
      <c r="AF299" s="10"/>
      <c r="AG299" s="10">
        <v>4</v>
      </c>
    </row>
    <row r="300" spans="25:33" x14ac:dyDescent="0.25">
      <c r="Y300" s="10">
        <v>5</v>
      </c>
      <c r="Z300" s="10" t="s">
        <v>506</v>
      </c>
      <c r="AA300" s="10" t="s">
        <v>25</v>
      </c>
      <c r="AB300" s="10"/>
      <c r="AC300" s="10" t="s">
        <v>507</v>
      </c>
      <c r="AD300" s="10" t="s">
        <v>27</v>
      </c>
      <c r="AE300" s="10"/>
      <c r="AF300" s="10"/>
      <c r="AG300" s="10">
        <v>4</v>
      </c>
    </row>
    <row r="301" spans="25:33" x14ac:dyDescent="0.25">
      <c r="Y301" s="10">
        <v>5</v>
      </c>
      <c r="Z301" s="10" t="s">
        <v>508</v>
      </c>
      <c r="AA301" s="10" t="s">
        <v>25</v>
      </c>
      <c r="AB301" s="10"/>
      <c r="AC301" s="10" t="s">
        <v>464</v>
      </c>
      <c r="AD301" s="10" t="s">
        <v>27</v>
      </c>
      <c r="AE301" s="10"/>
      <c r="AF301" s="10"/>
      <c r="AG301" s="10">
        <v>4</v>
      </c>
    </row>
    <row r="302" spans="25:33" x14ac:dyDescent="0.25">
      <c r="Y302" s="9">
        <v>4</v>
      </c>
      <c r="Z302" s="9" t="s">
        <v>519</v>
      </c>
      <c r="AA302" s="9" t="s">
        <v>29</v>
      </c>
      <c r="AB302" s="9" t="s">
        <v>520</v>
      </c>
      <c r="AC302" s="9" t="s">
        <v>520</v>
      </c>
      <c r="AD302" s="9" t="s">
        <v>292</v>
      </c>
      <c r="AE302" s="9">
        <v>0.100496</v>
      </c>
      <c r="AF302" s="9" t="s">
        <v>223</v>
      </c>
      <c r="AG302" s="9">
        <v>2</v>
      </c>
    </row>
    <row r="303" spans="25:33" x14ac:dyDescent="0.25">
      <c r="Y303" s="9">
        <v>4</v>
      </c>
      <c r="Z303" s="9" t="s">
        <v>521</v>
      </c>
      <c r="AA303" s="9" t="s">
        <v>29</v>
      </c>
      <c r="AB303" s="9" t="s">
        <v>520</v>
      </c>
      <c r="AC303" s="9" t="s">
        <v>520</v>
      </c>
      <c r="AD303" s="9" t="s">
        <v>292</v>
      </c>
      <c r="AE303" s="9">
        <v>0.118016</v>
      </c>
      <c r="AF303" s="9" t="s">
        <v>223</v>
      </c>
      <c r="AG303" s="9">
        <v>2</v>
      </c>
    </row>
    <row r="304" spans="25:33" x14ac:dyDescent="0.25">
      <c r="Y304" s="9">
        <v>4</v>
      </c>
      <c r="Z304" s="9" t="s">
        <v>224</v>
      </c>
      <c r="AA304" s="9" t="s">
        <v>25</v>
      </c>
      <c r="AB304" s="9"/>
      <c r="AC304" s="9" t="s">
        <v>9</v>
      </c>
      <c r="AD304" s="9" t="s">
        <v>27</v>
      </c>
      <c r="AE304" s="9"/>
      <c r="AF304" s="9"/>
      <c r="AG304" s="9">
        <v>3</v>
      </c>
    </row>
    <row r="305" spans="25:33" ht="30" x14ac:dyDescent="0.25">
      <c r="Y305" s="9">
        <v>4</v>
      </c>
      <c r="Z305" s="9" t="s">
        <v>522</v>
      </c>
      <c r="AA305" s="9" t="s">
        <v>25</v>
      </c>
      <c r="AB305" s="11" t="s">
        <v>523</v>
      </c>
      <c r="AC305" s="9" t="s">
        <v>524</v>
      </c>
      <c r="AD305" s="9" t="s">
        <v>27</v>
      </c>
      <c r="AE305" s="9">
        <v>4.5560499999999999E-3</v>
      </c>
      <c r="AF305" s="9"/>
      <c r="AG305" s="9">
        <v>3</v>
      </c>
    </row>
    <row r="306" spans="25:33" x14ac:dyDescent="0.25">
      <c r="Y306" s="9">
        <v>4</v>
      </c>
      <c r="Z306" s="9" t="s">
        <v>525</v>
      </c>
      <c r="AA306" s="9" t="s">
        <v>35</v>
      </c>
      <c r="AB306" s="9"/>
      <c r="AC306" s="9" t="s">
        <v>9</v>
      </c>
      <c r="AD306" s="9" t="s">
        <v>27</v>
      </c>
      <c r="AE306" s="9"/>
      <c r="AF306" s="9"/>
      <c r="AG306" s="9">
        <v>10</v>
      </c>
    </row>
    <row r="307" spans="25:33" x14ac:dyDescent="0.25">
      <c r="Y307" s="10">
        <v>3</v>
      </c>
      <c r="Z307" s="10" t="s">
        <v>526</v>
      </c>
      <c r="AA307" s="10" t="s">
        <v>25</v>
      </c>
      <c r="AB307" s="10"/>
      <c r="AC307" s="10" t="s">
        <v>527</v>
      </c>
      <c r="AD307" s="10" t="s">
        <v>27</v>
      </c>
      <c r="AE307" s="10"/>
      <c r="AF307" s="10"/>
      <c r="AG307" s="10">
        <v>1</v>
      </c>
    </row>
    <row r="308" spans="25:33" x14ac:dyDescent="0.25">
      <c r="Y308" s="10">
        <v>3</v>
      </c>
      <c r="Z308" s="10" t="s">
        <v>528</v>
      </c>
      <c r="AA308" s="10" t="s">
        <v>25</v>
      </c>
      <c r="AB308" s="10"/>
      <c r="AC308" s="10" t="s">
        <v>529</v>
      </c>
      <c r="AD308" s="10" t="s">
        <v>27</v>
      </c>
      <c r="AE308" s="10"/>
      <c r="AF308" s="10"/>
      <c r="AG308" s="10">
        <v>1</v>
      </c>
    </row>
    <row r="309" spans="25:33" ht="45" x14ac:dyDescent="0.25">
      <c r="Y309" s="10">
        <v>3</v>
      </c>
      <c r="Z309" s="10" t="s">
        <v>530</v>
      </c>
      <c r="AA309" s="10" t="s">
        <v>25</v>
      </c>
      <c r="AB309" s="12" t="s">
        <v>531</v>
      </c>
      <c r="AC309" s="10" t="s">
        <v>530</v>
      </c>
      <c r="AD309" s="10"/>
      <c r="AE309" s="10">
        <v>0</v>
      </c>
      <c r="AF309" s="10"/>
      <c r="AG309" s="10">
        <v>1</v>
      </c>
    </row>
    <row r="310" spans="25:33" ht="30" x14ac:dyDescent="0.25">
      <c r="Y310" s="10">
        <v>3</v>
      </c>
      <c r="Z310" s="10" t="s">
        <v>532</v>
      </c>
      <c r="AA310" s="10" t="s">
        <v>29</v>
      </c>
      <c r="AB310" s="12" t="s">
        <v>533</v>
      </c>
      <c r="AC310" s="10" t="s">
        <v>534</v>
      </c>
      <c r="AD310" s="10" t="s">
        <v>292</v>
      </c>
      <c r="AE310" s="10">
        <v>0.182865</v>
      </c>
      <c r="AF310" s="10"/>
      <c r="AG310" s="10">
        <v>1</v>
      </c>
    </row>
    <row r="311" spans="25:33" ht="30" x14ac:dyDescent="0.25">
      <c r="Y311" s="10">
        <v>3</v>
      </c>
      <c r="Z311" s="10" t="s">
        <v>535</v>
      </c>
      <c r="AA311" s="10" t="s">
        <v>29</v>
      </c>
      <c r="AB311" s="12" t="s">
        <v>536</v>
      </c>
      <c r="AC311" s="10" t="s">
        <v>537</v>
      </c>
      <c r="AD311" s="10" t="s">
        <v>292</v>
      </c>
      <c r="AE311" s="10">
        <v>0.37317299999999998</v>
      </c>
      <c r="AF311" s="10"/>
      <c r="AG311" s="10">
        <v>1</v>
      </c>
    </row>
    <row r="312" spans="25:33" x14ac:dyDescent="0.25">
      <c r="Y312" s="10">
        <v>3</v>
      </c>
      <c r="Z312" s="10" t="s">
        <v>538</v>
      </c>
      <c r="AA312" s="10" t="s">
        <v>25</v>
      </c>
      <c r="AB312" s="10"/>
      <c r="AC312" s="10" t="s">
        <v>539</v>
      </c>
      <c r="AD312" s="10" t="s">
        <v>499</v>
      </c>
      <c r="AE312" s="10">
        <v>0</v>
      </c>
      <c r="AF312" s="10"/>
      <c r="AG312" s="10">
        <v>1</v>
      </c>
    </row>
    <row r="313" spans="25:33" x14ac:dyDescent="0.25">
      <c r="Y313" s="10">
        <v>3</v>
      </c>
      <c r="Z313" s="10" t="s">
        <v>540</v>
      </c>
      <c r="AA313" s="10" t="s">
        <v>29</v>
      </c>
      <c r="AB313" s="10" t="s">
        <v>133</v>
      </c>
      <c r="AC313" s="10" t="s">
        <v>133</v>
      </c>
      <c r="AF313" s="10"/>
      <c r="AG313" s="10">
        <v>1</v>
      </c>
    </row>
    <row r="314" spans="25:33" x14ac:dyDescent="0.25">
      <c r="Y314" s="9">
        <v>4</v>
      </c>
      <c r="Z314" s="9" t="s">
        <v>541</v>
      </c>
      <c r="AA314" s="9" t="s">
        <v>29</v>
      </c>
      <c r="AB314" s="9" t="s">
        <v>542</v>
      </c>
      <c r="AC314" s="9" t="s">
        <v>22</v>
      </c>
      <c r="AD314" s="9" t="s">
        <v>114</v>
      </c>
      <c r="AE314" s="9">
        <v>0.29802099999999998</v>
      </c>
      <c r="AF314" s="9"/>
      <c r="AG314" s="9">
        <v>1</v>
      </c>
    </row>
    <row r="315" spans="25:33" x14ac:dyDescent="0.25">
      <c r="Y315" s="9">
        <v>4</v>
      </c>
      <c r="Z315" s="9" t="s">
        <v>543</v>
      </c>
      <c r="AA315" s="9" t="s">
        <v>25</v>
      </c>
      <c r="AB315" s="9"/>
      <c r="AC315" s="9" t="s">
        <v>26</v>
      </c>
      <c r="AD315" s="9" t="s">
        <v>27</v>
      </c>
      <c r="AE315" s="9"/>
      <c r="AF315" s="9"/>
      <c r="AG315" s="9">
        <v>4</v>
      </c>
    </row>
    <row r="316" spans="25:33" x14ac:dyDescent="0.25">
      <c r="Y316" s="10">
        <v>3</v>
      </c>
      <c r="Z316" s="10" t="s">
        <v>544</v>
      </c>
      <c r="AA316" s="10" t="s">
        <v>485</v>
      </c>
      <c r="AB316" s="10" t="s">
        <v>545</v>
      </c>
      <c r="AC316" s="10" t="s">
        <v>545</v>
      </c>
      <c r="AD316" s="10" t="s">
        <v>292</v>
      </c>
      <c r="AE316" s="10">
        <v>0.82806500000000005</v>
      </c>
      <c r="AF316" s="10" t="s">
        <v>165</v>
      </c>
      <c r="AG316" s="10">
        <v>1</v>
      </c>
    </row>
    <row r="317" spans="25:33" x14ac:dyDescent="0.25">
      <c r="Y317" s="10">
        <v>3</v>
      </c>
      <c r="Z317" s="10" t="s">
        <v>546</v>
      </c>
      <c r="AA317" s="10" t="s">
        <v>78</v>
      </c>
      <c r="AB317" s="10"/>
      <c r="AC317" s="10" t="s">
        <v>547</v>
      </c>
      <c r="AF317" s="10" t="s">
        <v>150</v>
      </c>
      <c r="AG317" s="10">
        <v>1</v>
      </c>
    </row>
    <row r="318" spans="25:33" x14ac:dyDescent="0.25">
      <c r="Y318" s="9">
        <v>4</v>
      </c>
      <c r="Z318" s="9" t="s">
        <v>548</v>
      </c>
      <c r="AA318" s="9" t="s">
        <v>29</v>
      </c>
      <c r="AB318" s="9"/>
      <c r="AC318" s="9" t="s">
        <v>549</v>
      </c>
      <c r="AD318" s="9" t="s">
        <v>550</v>
      </c>
      <c r="AE318" s="9">
        <v>4.21681E-2</v>
      </c>
      <c r="AF318" s="9" t="s">
        <v>150</v>
      </c>
      <c r="AG318" s="9">
        <v>1</v>
      </c>
    </row>
    <row r="319" spans="25:33" x14ac:dyDescent="0.25">
      <c r="Y319" s="9">
        <v>4</v>
      </c>
      <c r="Z319" s="9" t="s">
        <v>551</v>
      </c>
      <c r="AA319" s="9" t="s">
        <v>29</v>
      </c>
      <c r="AB319" s="9" t="s">
        <v>552</v>
      </c>
      <c r="AC319" s="9" t="s">
        <v>552</v>
      </c>
      <c r="AD319" s="9" t="s">
        <v>550</v>
      </c>
      <c r="AE319" s="9">
        <v>6.0163700000000001E-2</v>
      </c>
      <c r="AF319" s="9" t="s">
        <v>150</v>
      </c>
      <c r="AG319" s="9">
        <v>1</v>
      </c>
    </row>
    <row r="320" spans="25:33" ht="30" x14ac:dyDescent="0.25">
      <c r="Y320" s="9">
        <v>4</v>
      </c>
      <c r="Z320" s="9" t="s">
        <v>553</v>
      </c>
      <c r="AA320" s="9" t="s">
        <v>29</v>
      </c>
      <c r="AB320" s="11" t="s">
        <v>554</v>
      </c>
      <c r="AC320" s="9" t="s">
        <v>555</v>
      </c>
      <c r="AF320" s="9" t="s">
        <v>150</v>
      </c>
      <c r="AG320" s="9">
        <v>1</v>
      </c>
    </row>
    <row r="321" spans="25:33" x14ac:dyDescent="0.25">
      <c r="Y321" s="10">
        <v>5</v>
      </c>
      <c r="Z321" s="10" t="s">
        <v>556</v>
      </c>
      <c r="AA321" s="10" t="s">
        <v>29</v>
      </c>
      <c r="AB321" s="10" t="s">
        <v>557</v>
      </c>
      <c r="AC321" s="10" t="s">
        <v>558</v>
      </c>
      <c r="AF321" s="10" t="s">
        <v>150</v>
      </c>
      <c r="AG321" s="10">
        <v>1</v>
      </c>
    </row>
    <row r="322" spans="25:33" x14ac:dyDescent="0.25">
      <c r="Y322" s="9">
        <v>6</v>
      </c>
      <c r="Z322" s="9" t="s">
        <v>559</v>
      </c>
      <c r="AA322" s="9" t="s">
        <v>29</v>
      </c>
      <c r="AB322" s="9" t="s">
        <v>560</v>
      </c>
      <c r="AC322" s="9" t="s">
        <v>561</v>
      </c>
      <c r="AD322" s="9" t="s">
        <v>562</v>
      </c>
      <c r="AE322" s="9">
        <v>1.44726E-2</v>
      </c>
      <c r="AF322" s="9" t="s">
        <v>150</v>
      </c>
      <c r="AG322" s="9">
        <v>1</v>
      </c>
    </row>
    <row r="323" spans="25:33" x14ac:dyDescent="0.25">
      <c r="Y323" s="9">
        <v>6</v>
      </c>
      <c r="Z323" s="9" t="s">
        <v>563</v>
      </c>
      <c r="AA323" s="9" t="s">
        <v>29</v>
      </c>
      <c r="AB323" s="9" t="s">
        <v>564</v>
      </c>
      <c r="AC323" s="9" t="s">
        <v>198</v>
      </c>
      <c r="AD323" s="9" t="s">
        <v>562</v>
      </c>
      <c r="AE323" s="9">
        <v>8.3433199999999996E-3</v>
      </c>
      <c r="AF323" s="9" t="s">
        <v>150</v>
      </c>
      <c r="AG323" s="9">
        <v>1</v>
      </c>
    </row>
    <row r="324" spans="25:33" x14ac:dyDescent="0.25">
      <c r="Y324" s="10">
        <v>5</v>
      </c>
      <c r="Z324" s="10" t="s">
        <v>565</v>
      </c>
      <c r="AA324" s="10" t="s">
        <v>25</v>
      </c>
      <c r="AB324" s="10"/>
      <c r="AC324" s="10" t="s">
        <v>566</v>
      </c>
      <c r="AD324" s="10" t="s">
        <v>567</v>
      </c>
      <c r="AE324" s="10">
        <v>2.4548E-3</v>
      </c>
      <c r="AF324" s="10"/>
      <c r="AG324" s="10">
        <v>1</v>
      </c>
    </row>
    <row r="325" spans="25:33" x14ac:dyDescent="0.25">
      <c r="Y325" s="9">
        <v>4</v>
      </c>
      <c r="Z325" s="9" t="s">
        <v>568</v>
      </c>
      <c r="AA325" s="9" t="s">
        <v>25</v>
      </c>
      <c r="AB325" s="9" t="s">
        <v>569</v>
      </c>
      <c r="AC325" s="9" t="s">
        <v>569</v>
      </c>
      <c r="AD325" s="9" t="s">
        <v>499</v>
      </c>
      <c r="AE325" s="9">
        <v>0</v>
      </c>
      <c r="AF325" s="9"/>
      <c r="AG325" s="9">
        <v>1</v>
      </c>
    </row>
    <row r="326" spans="25:33" x14ac:dyDescent="0.25">
      <c r="Y326" s="9">
        <v>4</v>
      </c>
      <c r="Z326" s="9" t="s">
        <v>570</v>
      </c>
      <c r="AA326" s="9" t="s">
        <v>29</v>
      </c>
      <c r="AB326" s="9"/>
      <c r="AC326" s="9" t="s">
        <v>571</v>
      </c>
      <c r="AD326" s="9" t="s">
        <v>572</v>
      </c>
      <c r="AE326" s="9">
        <v>5.0590400000000005E-4</v>
      </c>
      <c r="AF326" s="9" t="s">
        <v>150</v>
      </c>
      <c r="AG326" s="9">
        <v>2</v>
      </c>
    </row>
    <row r="327" spans="25:33" x14ac:dyDescent="0.25">
      <c r="Y327" s="10">
        <v>3</v>
      </c>
      <c r="Z327" s="10" t="s">
        <v>573</v>
      </c>
      <c r="AA327" s="10" t="s">
        <v>574</v>
      </c>
      <c r="AB327" s="10" t="s">
        <v>575</v>
      </c>
      <c r="AC327" s="10" t="s">
        <v>575</v>
      </c>
      <c r="AF327" s="10" t="s">
        <v>19</v>
      </c>
      <c r="AG327" s="10">
        <v>1</v>
      </c>
    </row>
    <row r="328" spans="25:33" x14ac:dyDescent="0.25">
      <c r="Y328" s="9">
        <v>4</v>
      </c>
      <c r="Z328" s="9" t="s">
        <v>576</v>
      </c>
      <c r="AA328" s="9" t="s">
        <v>574</v>
      </c>
      <c r="AB328" s="9" t="s">
        <v>474</v>
      </c>
      <c r="AC328" s="9" t="s">
        <v>474</v>
      </c>
      <c r="AF328" s="9" t="s">
        <v>19</v>
      </c>
      <c r="AG328" s="9">
        <v>1</v>
      </c>
    </row>
    <row r="329" spans="25:33" x14ac:dyDescent="0.25">
      <c r="Y329" s="10">
        <v>5</v>
      </c>
      <c r="Z329" s="10" t="s">
        <v>577</v>
      </c>
      <c r="AA329" s="10" t="s">
        <v>574</v>
      </c>
      <c r="AB329" s="10" t="s">
        <v>123</v>
      </c>
      <c r="AC329" s="10" t="s">
        <v>22</v>
      </c>
      <c r="AD329" s="10" t="s">
        <v>578</v>
      </c>
      <c r="AE329" s="10">
        <v>1.25163</v>
      </c>
      <c r="AF329" s="10" t="s">
        <v>19</v>
      </c>
      <c r="AG329" s="10">
        <v>1</v>
      </c>
    </row>
    <row r="330" spans="25:33" x14ac:dyDescent="0.25">
      <c r="Y330" s="10">
        <v>5</v>
      </c>
      <c r="Z330" s="10" t="s">
        <v>75</v>
      </c>
      <c r="AA330" s="10" t="s">
        <v>25</v>
      </c>
      <c r="AB330" s="10" t="s">
        <v>76</v>
      </c>
      <c r="AC330" s="10" t="s">
        <v>76</v>
      </c>
      <c r="AD330" s="10" t="s">
        <v>27</v>
      </c>
      <c r="AE330" s="10"/>
      <c r="AF330" s="10"/>
      <c r="AG330" s="10">
        <v>7</v>
      </c>
    </row>
    <row r="331" spans="25:33" x14ac:dyDescent="0.25">
      <c r="Y331" s="9">
        <v>4</v>
      </c>
      <c r="Z331" s="9" t="s">
        <v>579</v>
      </c>
      <c r="AA331" s="9" t="s">
        <v>574</v>
      </c>
      <c r="AB331" s="9" t="s">
        <v>580</v>
      </c>
      <c r="AC331" s="9" t="s">
        <v>581</v>
      </c>
      <c r="AD331" s="9" t="s">
        <v>581</v>
      </c>
      <c r="AE331" s="9">
        <v>1.88557</v>
      </c>
      <c r="AF331" s="9" t="s">
        <v>289</v>
      </c>
      <c r="AG331" s="9">
        <v>1</v>
      </c>
    </row>
    <row r="332" spans="25:33" x14ac:dyDescent="0.25">
      <c r="Y332" s="10">
        <v>3</v>
      </c>
      <c r="Z332" s="10" t="s">
        <v>582</v>
      </c>
      <c r="AA332" s="10" t="s">
        <v>131</v>
      </c>
      <c r="AB332" s="10" t="s">
        <v>583</v>
      </c>
      <c r="AC332" s="10" t="s">
        <v>584</v>
      </c>
      <c r="AD332" s="10" t="s">
        <v>585</v>
      </c>
      <c r="AE332" s="10">
        <v>0.193493</v>
      </c>
      <c r="AF332" s="10" t="s">
        <v>586</v>
      </c>
      <c r="AG332" s="10">
        <v>1</v>
      </c>
    </row>
    <row r="333" spans="25:33" x14ac:dyDescent="0.25">
      <c r="Y333" s="10">
        <v>3</v>
      </c>
      <c r="Z333" s="10" t="s">
        <v>587</v>
      </c>
      <c r="AA333" s="10" t="s">
        <v>131</v>
      </c>
      <c r="AB333" s="10" t="s">
        <v>588</v>
      </c>
      <c r="AC333" s="10" t="s">
        <v>588</v>
      </c>
      <c r="AF333" s="10" t="s">
        <v>586</v>
      </c>
      <c r="AG333" s="10">
        <v>1</v>
      </c>
    </row>
    <row r="334" spans="25:33" x14ac:dyDescent="0.25">
      <c r="Y334" s="9">
        <v>4</v>
      </c>
      <c r="Z334" s="9" t="s">
        <v>589</v>
      </c>
      <c r="AA334" s="9" t="s">
        <v>25</v>
      </c>
      <c r="AB334" s="9" t="s">
        <v>590</v>
      </c>
      <c r="AC334" s="9" t="s">
        <v>590</v>
      </c>
      <c r="AD334" s="9"/>
      <c r="AE334" s="9">
        <v>0</v>
      </c>
      <c r="AF334" s="9"/>
      <c r="AG334" s="9">
        <v>1</v>
      </c>
    </row>
    <row r="335" spans="25:33" x14ac:dyDescent="0.25">
      <c r="Y335" s="9">
        <v>4</v>
      </c>
      <c r="Z335" s="9" t="s">
        <v>591</v>
      </c>
      <c r="AA335" s="9" t="s">
        <v>25</v>
      </c>
      <c r="AB335" s="9" t="s">
        <v>592</v>
      </c>
      <c r="AC335" s="9" t="s">
        <v>593</v>
      </c>
      <c r="AD335" s="9" t="s">
        <v>594</v>
      </c>
      <c r="AE335" s="9">
        <v>0</v>
      </c>
      <c r="AF335" s="9"/>
      <c r="AG335" s="9">
        <v>1</v>
      </c>
    </row>
    <row r="336" spans="25:33" x14ac:dyDescent="0.25">
      <c r="Y336" s="9">
        <v>4</v>
      </c>
      <c r="Z336" s="9" t="s">
        <v>595</v>
      </c>
      <c r="AA336" s="9" t="s">
        <v>131</v>
      </c>
      <c r="AB336" s="9"/>
      <c r="AC336" s="9" t="s">
        <v>596</v>
      </c>
      <c r="AD336" s="9" t="s">
        <v>468</v>
      </c>
      <c r="AE336" s="9">
        <v>4.63545E-2</v>
      </c>
      <c r="AF336" s="9" t="s">
        <v>586</v>
      </c>
      <c r="AG336" s="9">
        <v>1</v>
      </c>
    </row>
    <row r="337" spans="25:33" x14ac:dyDescent="0.25">
      <c r="Y337" s="9">
        <v>4</v>
      </c>
      <c r="Z337" s="9" t="s">
        <v>597</v>
      </c>
      <c r="AA337" s="9" t="s">
        <v>131</v>
      </c>
      <c r="AB337" s="9" t="s">
        <v>598</v>
      </c>
      <c r="AC337" s="9" t="s">
        <v>599</v>
      </c>
      <c r="AD337" s="9" t="s">
        <v>599</v>
      </c>
      <c r="AE337" s="9">
        <v>1.0209999999999999</v>
      </c>
      <c r="AF337" s="9" t="s">
        <v>586</v>
      </c>
      <c r="AG337" s="9">
        <v>1</v>
      </c>
    </row>
    <row r="338" spans="25:33" x14ac:dyDescent="0.25">
      <c r="Y338" s="9">
        <v>4</v>
      </c>
      <c r="Z338" s="9" t="s">
        <v>600</v>
      </c>
      <c r="AA338" s="9" t="s">
        <v>131</v>
      </c>
      <c r="AB338" s="9" t="s">
        <v>601</v>
      </c>
      <c r="AC338" s="9" t="s">
        <v>594</v>
      </c>
      <c r="AD338" s="9" t="s">
        <v>594</v>
      </c>
      <c r="AE338" s="9">
        <v>1.6196599999999998E-2</v>
      </c>
      <c r="AF338" s="9" t="s">
        <v>586</v>
      </c>
      <c r="AG338" s="9">
        <v>1</v>
      </c>
    </row>
    <row r="339" spans="25:33" x14ac:dyDescent="0.25">
      <c r="Y339" s="10">
        <v>3</v>
      </c>
      <c r="Z339" s="10" t="s">
        <v>602</v>
      </c>
      <c r="AA339" s="10" t="s">
        <v>70</v>
      </c>
      <c r="AB339" s="10" t="s">
        <v>603</v>
      </c>
      <c r="AC339" s="10" t="s">
        <v>603</v>
      </c>
      <c r="AF339" s="10" t="s">
        <v>223</v>
      </c>
      <c r="AG339" s="10">
        <v>1</v>
      </c>
    </row>
    <row r="340" spans="25:33" x14ac:dyDescent="0.25">
      <c r="Y340" s="9">
        <v>4</v>
      </c>
      <c r="Z340" s="9" t="s">
        <v>604</v>
      </c>
      <c r="AA340" s="9" t="s">
        <v>40</v>
      </c>
      <c r="AB340" s="9" t="s">
        <v>605</v>
      </c>
      <c r="AC340" s="9" t="s">
        <v>606</v>
      </c>
      <c r="AF340" s="9" t="s">
        <v>218</v>
      </c>
      <c r="AG340" s="9">
        <v>1</v>
      </c>
    </row>
    <row r="341" spans="25:33" x14ac:dyDescent="0.25">
      <c r="Y341" s="10">
        <v>5</v>
      </c>
      <c r="Z341" s="10" t="s">
        <v>607</v>
      </c>
      <c r="AA341" s="10" t="s">
        <v>40</v>
      </c>
      <c r="AB341" s="10" t="s">
        <v>608</v>
      </c>
      <c r="AC341" s="10" t="s">
        <v>609</v>
      </c>
      <c r="AF341" s="10" t="s">
        <v>218</v>
      </c>
      <c r="AG341" s="10">
        <v>1</v>
      </c>
    </row>
    <row r="342" spans="25:33" x14ac:dyDescent="0.25">
      <c r="Y342" s="9">
        <v>6</v>
      </c>
      <c r="Z342" s="9" t="s">
        <v>610</v>
      </c>
      <c r="AA342" s="9" t="s">
        <v>40</v>
      </c>
      <c r="AB342" s="9" t="s">
        <v>611</v>
      </c>
      <c r="AC342" s="9" t="s">
        <v>22</v>
      </c>
      <c r="AD342" s="9" t="s">
        <v>612</v>
      </c>
      <c r="AE342" s="9">
        <v>0.13958400000000001</v>
      </c>
      <c r="AF342" s="9" t="s">
        <v>613</v>
      </c>
      <c r="AG342" s="9">
        <v>1</v>
      </c>
    </row>
    <row r="343" spans="25:33" x14ac:dyDescent="0.25">
      <c r="Y343" s="9">
        <v>6</v>
      </c>
      <c r="Z343" s="9" t="s">
        <v>51</v>
      </c>
      <c r="AA343" s="9" t="s">
        <v>25</v>
      </c>
      <c r="AB343" s="9" t="s">
        <v>52</v>
      </c>
      <c r="AC343" s="9" t="s">
        <v>52</v>
      </c>
      <c r="AD343" s="9" t="s">
        <v>27</v>
      </c>
      <c r="AE343" s="9"/>
      <c r="AF343" s="9"/>
      <c r="AG343" s="9">
        <v>4</v>
      </c>
    </row>
    <row r="344" spans="25:33" x14ac:dyDescent="0.25">
      <c r="Y344" s="9">
        <v>6</v>
      </c>
      <c r="Z344" s="9" t="s">
        <v>75</v>
      </c>
      <c r="AA344" s="9" t="s">
        <v>25</v>
      </c>
      <c r="AB344" s="9" t="s">
        <v>76</v>
      </c>
      <c r="AC344" s="9" t="s">
        <v>76</v>
      </c>
      <c r="AD344" s="9" t="s">
        <v>27</v>
      </c>
      <c r="AE344" s="9"/>
      <c r="AF344" s="9"/>
      <c r="AG344" s="9">
        <v>4</v>
      </c>
    </row>
    <row r="345" spans="25:33" x14ac:dyDescent="0.25">
      <c r="Y345" s="9">
        <v>6</v>
      </c>
      <c r="Z345" s="9" t="s">
        <v>49</v>
      </c>
      <c r="AA345" s="9" t="s">
        <v>25</v>
      </c>
      <c r="AB345" s="9" t="s">
        <v>50</v>
      </c>
      <c r="AC345" s="9" t="s">
        <v>50</v>
      </c>
      <c r="AD345" s="9" t="s">
        <v>27</v>
      </c>
      <c r="AE345" s="9"/>
      <c r="AF345" s="9"/>
      <c r="AG345" s="9">
        <v>6</v>
      </c>
    </row>
    <row r="346" spans="25:33" x14ac:dyDescent="0.25">
      <c r="Y346" s="10">
        <v>5</v>
      </c>
      <c r="Z346" s="10" t="s">
        <v>614</v>
      </c>
      <c r="AA346" s="10" t="s">
        <v>40</v>
      </c>
      <c r="AB346" s="10" t="s">
        <v>483</v>
      </c>
      <c r="AC346" s="10" t="s">
        <v>483</v>
      </c>
      <c r="AD346" s="10" t="s">
        <v>297</v>
      </c>
      <c r="AE346" s="10">
        <v>0.119005</v>
      </c>
      <c r="AF346" s="10" t="s">
        <v>289</v>
      </c>
      <c r="AG346" s="10">
        <v>1</v>
      </c>
    </row>
    <row r="347" spans="25:33" x14ac:dyDescent="0.25">
      <c r="Y347" s="10">
        <v>5</v>
      </c>
      <c r="Z347" s="10" t="s">
        <v>615</v>
      </c>
      <c r="AA347" s="10" t="s">
        <v>40</v>
      </c>
      <c r="AB347" s="10" t="s">
        <v>616</v>
      </c>
      <c r="AC347" s="10" t="s">
        <v>617</v>
      </c>
      <c r="AD347" s="10" t="s">
        <v>618</v>
      </c>
      <c r="AE347" s="10">
        <v>4.8652599999999997E-3</v>
      </c>
      <c r="AF347" s="10" t="s">
        <v>165</v>
      </c>
      <c r="AG347" s="10">
        <v>1</v>
      </c>
    </row>
    <row r="348" spans="25:33" x14ac:dyDescent="0.25">
      <c r="Y348" s="10">
        <v>5</v>
      </c>
      <c r="Z348" s="10" t="s">
        <v>619</v>
      </c>
      <c r="AA348" s="10" t="s">
        <v>35</v>
      </c>
      <c r="AB348" s="10" t="s">
        <v>620</v>
      </c>
      <c r="AC348" s="10" t="s">
        <v>620</v>
      </c>
      <c r="AF348" s="10"/>
      <c r="AG348" s="10">
        <v>1</v>
      </c>
    </row>
    <row r="349" spans="25:33" x14ac:dyDescent="0.25">
      <c r="Y349" s="9">
        <v>6</v>
      </c>
      <c r="Z349" s="9" t="s">
        <v>621</v>
      </c>
      <c r="AA349" s="9" t="s">
        <v>25</v>
      </c>
      <c r="AB349" s="9"/>
      <c r="AC349" s="9" t="s">
        <v>622</v>
      </c>
      <c r="AD349" s="9" t="s">
        <v>176</v>
      </c>
      <c r="AE349" s="9"/>
      <c r="AF349" s="9"/>
      <c r="AG349" s="9">
        <v>1</v>
      </c>
    </row>
    <row r="350" spans="25:33" x14ac:dyDescent="0.25">
      <c r="Y350" s="9">
        <v>6</v>
      </c>
      <c r="Z350" s="9" t="s">
        <v>623</v>
      </c>
      <c r="AA350" s="9" t="s">
        <v>35</v>
      </c>
      <c r="AB350" s="9" t="s">
        <v>624</v>
      </c>
      <c r="AC350" s="9" t="s">
        <v>625</v>
      </c>
      <c r="AD350" s="9" t="s">
        <v>101</v>
      </c>
      <c r="AE350" s="9">
        <v>1.1731999999999999E-2</v>
      </c>
      <c r="AF350" s="9"/>
      <c r="AG350" s="9">
        <v>1</v>
      </c>
    </row>
    <row r="351" spans="25:33" x14ac:dyDescent="0.25">
      <c r="Y351" s="9">
        <v>6</v>
      </c>
      <c r="Z351" s="9" t="s">
        <v>626</v>
      </c>
      <c r="AA351" s="9" t="s">
        <v>35</v>
      </c>
      <c r="AB351" s="9" t="s">
        <v>624</v>
      </c>
      <c r="AC351" s="9" t="s">
        <v>625</v>
      </c>
      <c r="AD351" s="9" t="s">
        <v>101</v>
      </c>
      <c r="AE351" s="9">
        <v>1.16141E-2</v>
      </c>
      <c r="AF351" s="9"/>
      <c r="AG351" s="9">
        <v>1</v>
      </c>
    </row>
    <row r="352" spans="25:33" x14ac:dyDescent="0.25">
      <c r="Y352" s="9">
        <v>6</v>
      </c>
      <c r="Z352" s="9" t="s">
        <v>199</v>
      </c>
      <c r="AA352" s="9" t="s">
        <v>25</v>
      </c>
      <c r="AB352" s="9"/>
      <c r="AC352" s="9" t="s">
        <v>200</v>
      </c>
      <c r="AD352" s="9" t="s">
        <v>27</v>
      </c>
      <c r="AE352" s="9"/>
      <c r="AF352" s="9"/>
      <c r="AG352" s="9">
        <v>2</v>
      </c>
    </row>
    <row r="353" spans="25:33" ht="30" x14ac:dyDescent="0.25">
      <c r="Y353" s="9">
        <v>6</v>
      </c>
      <c r="Z353" s="9" t="s">
        <v>627</v>
      </c>
      <c r="AA353" s="9" t="s">
        <v>25</v>
      </c>
      <c r="AB353" s="11" t="s">
        <v>628</v>
      </c>
      <c r="AC353" s="9" t="s">
        <v>629</v>
      </c>
      <c r="AD353" s="9"/>
      <c r="AE353" s="9">
        <v>0</v>
      </c>
      <c r="AF353" s="9"/>
      <c r="AG353" s="9">
        <v>2</v>
      </c>
    </row>
    <row r="354" spans="25:33" x14ac:dyDescent="0.25">
      <c r="Y354" s="9">
        <v>6</v>
      </c>
      <c r="Z354" s="9" t="s">
        <v>630</v>
      </c>
      <c r="AA354" s="9" t="s">
        <v>25</v>
      </c>
      <c r="AB354" s="9" t="s">
        <v>631</v>
      </c>
      <c r="AC354" s="9" t="s">
        <v>631</v>
      </c>
      <c r="AD354" s="9" t="s">
        <v>101</v>
      </c>
      <c r="AE354" s="14">
        <v>7.2727799999999998E-5</v>
      </c>
      <c r="AF354" s="9"/>
      <c r="AG354" s="9">
        <v>4</v>
      </c>
    </row>
    <row r="355" spans="25:33" x14ac:dyDescent="0.25">
      <c r="Y355" s="10">
        <v>5</v>
      </c>
      <c r="Z355" s="10" t="s">
        <v>632</v>
      </c>
      <c r="AA355" s="10" t="s">
        <v>29</v>
      </c>
      <c r="AB355" s="10" t="s">
        <v>633</v>
      </c>
      <c r="AC355" s="10" t="s">
        <v>198</v>
      </c>
      <c r="AD355" s="10" t="s">
        <v>335</v>
      </c>
      <c r="AE355" s="10">
        <v>1.2777699999999999E-2</v>
      </c>
      <c r="AF355" s="10" t="s">
        <v>102</v>
      </c>
      <c r="AG355" s="10">
        <v>1</v>
      </c>
    </row>
    <row r="356" spans="25:33" x14ac:dyDescent="0.25">
      <c r="Y356" s="10">
        <v>5</v>
      </c>
      <c r="Z356" s="10" t="s">
        <v>634</v>
      </c>
      <c r="AA356" s="10" t="s">
        <v>29</v>
      </c>
      <c r="AB356" s="10" t="s">
        <v>635</v>
      </c>
      <c r="AC356" s="10" t="s">
        <v>636</v>
      </c>
      <c r="AD356" s="10" t="s">
        <v>335</v>
      </c>
      <c r="AE356" s="10">
        <v>1.2777699999999999E-2</v>
      </c>
      <c r="AF356" s="10" t="s">
        <v>102</v>
      </c>
      <c r="AG356" s="10">
        <v>1</v>
      </c>
    </row>
    <row r="357" spans="25:33" x14ac:dyDescent="0.25">
      <c r="Y357" s="10">
        <v>5</v>
      </c>
      <c r="Z357" s="10" t="s">
        <v>637</v>
      </c>
      <c r="AA357" s="10" t="s">
        <v>40</v>
      </c>
      <c r="AB357" s="10" t="s">
        <v>638</v>
      </c>
      <c r="AC357" s="10" t="s">
        <v>638</v>
      </c>
      <c r="AD357" s="10" t="s">
        <v>292</v>
      </c>
      <c r="AE357" s="10">
        <v>5.9719700000000001E-2</v>
      </c>
      <c r="AF357" s="10" t="s">
        <v>289</v>
      </c>
      <c r="AG357" s="10">
        <v>1</v>
      </c>
    </row>
    <row r="358" spans="25:33" x14ac:dyDescent="0.25">
      <c r="Y358" s="10">
        <v>5</v>
      </c>
      <c r="Z358" s="10" t="s">
        <v>639</v>
      </c>
      <c r="AA358" s="10" t="s">
        <v>29</v>
      </c>
      <c r="AB358" s="10" t="s">
        <v>635</v>
      </c>
      <c r="AC358" s="10" t="s">
        <v>198</v>
      </c>
      <c r="AD358" s="10" t="s">
        <v>335</v>
      </c>
      <c r="AE358" s="10">
        <v>1.09949E-2</v>
      </c>
      <c r="AF358" s="10" t="s">
        <v>102</v>
      </c>
      <c r="AG358" s="10">
        <v>2</v>
      </c>
    </row>
    <row r="359" spans="25:33" x14ac:dyDescent="0.25">
      <c r="Y359" s="10">
        <v>5</v>
      </c>
      <c r="Z359" s="10" t="s">
        <v>640</v>
      </c>
      <c r="AA359" s="10" t="s">
        <v>40</v>
      </c>
      <c r="AB359" s="10" t="s">
        <v>641</v>
      </c>
      <c r="AC359" s="10" t="s">
        <v>642</v>
      </c>
      <c r="AD359" s="10" t="s">
        <v>618</v>
      </c>
      <c r="AE359" s="10">
        <v>1.29988E-3</v>
      </c>
      <c r="AF359" s="10" t="s">
        <v>165</v>
      </c>
      <c r="AG359" s="10">
        <v>2</v>
      </c>
    </row>
    <row r="360" spans="25:33" x14ac:dyDescent="0.25">
      <c r="Y360" s="10">
        <v>5</v>
      </c>
      <c r="Z360" s="10" t="s">
        <v>643</v>
      </c>
      <c r="AA360" s="10" t="s">
        <v>25</v>
      </c>
      <c r="AB360" s="10" t="s">
        <v>644</v>
      </c>
      <c r="AC360" s="10" t="s">
        <v>645</v>
      </c>
      <c r="AD360" s="10" t="s">
        <v>176</v>
      </c>
      <c r="AE360" s="10">
        <v>6.4565899999999996E-2</v>
      </c>
      <c r="AF360" s="10"/>
      <c r="AG360" s="10">
        <v>2</v>
      </c>
    </row>
    <row r="361" spans="25:33" x14ac:dyDescent="0.25">
      <c r="Y361" s="10">
        <v>5</v>
      </c>
      <c r="Z361" s="10" t="s">
        <v>646</v>
      </c>
      <c r="AA361" s="10" t="s">
        <v>25</v>
      </c>
      <c r="AB361" s="10" t="s">
        <v>647</v>
      </c>
      <c r="AC361" s="10" t="s">
        <v>647</v>
      </c>
      <c r="AD361" s="10"/>
      <c r="AE361" s="10">
        <v>0</v>
      </c>
      <c r="AF361" s="10"/>
      <c r="AG361" s="10">
        <v>2</v>
      </c>
    </row>
    <row r="362" spans="25:33" x14ac:dyDescent="0.25">
      <c r="Y362" s="10">
        <v>5</v>
      </c>
      <c r="Z362" s="10" t="s">
        <v>648</v>
      </c>
      <c r="AA362" s="10" t="s">
        <v>78</v>
      </c>
      <c r="AB362" s="10" t="s">
        <v>649</v>
      </c>
      <c r="AC362" s="10" t="s">
        <v>649</v>
      </c>
      <c r="AD362" s="10" t="s">
        <v>335</v>
      </c>
      <c r="AE362" s="10">
        <v>9.8516200000000002E-3</v>
      </c>
      <c r="AF362" s="10"/>
      <c r="AG362" s="10">
        <v>2</v>
      </c>
    </row>
    <row r="363" spans="25:33" x14ac:dyDescent="0.25">
      <c r="Y363" s="10">
        <v>5</v>
      </c>
      <c r="Z363" s="10" t="s">
        <v>8</v>
      </c>
      <c r="AA363" s="10" t="s">
        <v>25</v>
      </c>
      <c r="AB363" s="10"/>
      <c r="AC363" s="10" t="s">
        <v>9</v>
      </c>
      <c r="AD363" s="10" t="s">
        <v>27</v>
      </c>
      <c r="AE363" s="10"/>
      <c r="AF363" s="10"/>
      <c r="AG363" s="10">
        <v>4</v>
      </c>
    </row>
    <row r="364" spans="25:33" x14ac:dyDescent="0.25">
      <c r="Y364" s="10">
        <v>5</v>
      </c>
      <c r="Z364" s="10" t="s">
        <v>650</v>
      </c>
      <c r="AA364" s="10" t="s">
        <v>25</v>
      </c>
      <c r="AB364" s="10"/>
      <c r="AC364" s="10" t="s">
        <v>5</v>
      </c>
      <c r="AD364" s="10" t="s">
        <v>27</v>
      </c>
      <c r="AE364" s="10"/>
      <c r="AF364" s="10"/>
      <c r="AG364" s="10">
        <v>10</v>
      </c>
    </row>
    <row r="365" spans="25:33" x14ac:dyDescent="0.25">
      <c r="Y365" s="10">
        <v>5</v>
      </c>
      <c r="Z365" s="10" t="s">
        <v>253</v>
      </c>
      <c r="AA365" s="10" t="s">
        <v>25</v>
      </c>
      <c r="AB365" s="10" t="s">
        <v>254</v>
      </c>
      <c r="AC365" s="10" t="s">
        <v>254</v>
      </c>
      <c r="AD365" s="10" t="s">
        <v>27</v>
      </c>
      <c r="AE365" s="10"/>
      <c r="AF365" s="10"/>
      <c r="AG365" s="10">
        <v>10</v>
      </c>
    </row>
    <row r="366" spans="25:33" x14ac:dyDescent="0.25">
      <c r="Y366" s="9">
        <v>4</v>
      </c>
      <c r="Z366" s="9" t="s">
        <v>651</v>
      </c>
      <c r="AA366" s="9" t="s">
        <v>25</v>
      </c>
      <c r="AB366" s="9"/>
      <c r="AC366" s="9" t="s">
        <v>652</v>
      </c>
      <c r="AD366" s="9" t="s">
        <v>499</v>
      </c>
      <c r="AE366" s="14">
        <v>3.8372999999999998E-10</v>
      </c>
      <c r="AF366" s="9"/>
      <c r="AG366" s="9">
        <v>1</v>
      </c>
    </row>
    <row r="367" spans="25:33" x14ac:dyDescent="0.25">
      <c r="Y367" s="9">
        <v>4</v>
      </c>
      <c r="Z367" s="9" t="s">
        <v>653</v>
      </c>
      <c r="AA367" s="9" t="s">
        <v>25</v>
      </c>
      <c r="AB367" s="9"/>
      <c r="AC367" s="9" t="s">
        <v>654</v>
      </c>
      <c r="AD367" s="9" t="s">
        <v>27</v>
      </c>
      <c r="AE367" s="9"/>
      <c r="AF367" s="9"/>
      <c r="AG367" s="9">
        <v>2</v>
      </c>
    </row>
    <row r="368" spans="25:33" ht="30" x14ac:dyDescent="0.25">
      <c r="Y368" s="9">
        <v>4</v>
      </c>
      <c r="Z368" s="9" t="s">
        <v>655</v>
      </c>
      <c r="AA368" s="9" t="s">
        <v>29</v>
      </c>
      <c r="AB368" s="11" t="s">
        <v>656</v>
      </c>
      <c r="AC368" s="9" t="s">
        <v>657</v>
      </c>
      <c r="AD368" s="9" t="s">
        <v>658</v>
      </c>
      <c r="AE368" s="9">
        <v>1.2963000000000001E-2</v>
      </c>
      <c r="AF368" s="9"/>
      <c r="AG368" s="9">
        <v>2</v>
      </c>
    </row>
    <row r="369" spans="25:33" x14ac:dyDescent="0.25">
      <c r="Y369" s="9">
        <v>4</v>
      </c>
      <c r="Z369" s="9" t="s">
        <v>650</v>
      </c>
      <c r="AA369" s="9" t="s">
        <v>25</v>
      </c>
      <c r="AB369" s="9"/>
      <c r="AC369" s="9" t="s">
        <v>5</v>
      </c>
      <c r="AD369" s="9" t="s">
        <v>27</v>
      </c>
      <c r="AE369" s="9"/>
      <c r="AF369" s="9"/>
      <c r="AG369" s="9">
        <v>4</v>
      </c>
    </row>
    <row r="370" spans="25:33" x14ac:dyDescent="0.25">
      <c r="Y370" s="9">
        <v>4</v>
      </c>
      <c r="Z370" s="9" t="s">
        <v>253</v>
      </c>
      <c r="AA370" s="9" t="s">
        <v>25</v>
      </c>
      <c r="AB370" s="9" t="s">
        <v>254</v>
      </c>
      <c r="AC370" s="9" t="s">
        <v>254</v>
      </c>
      <c r="AD370" s="9" t="s">
        <v>27</v>
      </c>
      <c r="AE370" s="9"/>
      <c r="AF370" s="9"/>
      <c r="AG370" s="9">
        <v>4</v>
      </c>
    </row>
    <row r="371" spans="25:33" x14ac:dyDescent="0.25">
      <c r="Y371" s="9">
        <v>4</v>
      </c>
      <c r="Z371" s="9" t="s">
        <v>659</v>
      </c>
      <c r="AA371" s="9" t="s">
        <v>25</v>
      </c>
      <c r="AB371" s="9"/>
      <c r="AC371" s="9" t="s">
        <v>654</v>
      </c>
      <c r="AD371" s="9" t="s">
        <v>27</v>
      </c>
      <c r="AE371" s="9"/>
      <c r="AF371" s="9"/>
      <c r="AG371" s="9">
        <v>6</v>
      </c>
    </row>
    <row r="372" spans="25:33" x14ac:dyDescent="0.25">
      <c r="Y372" s="10">
        <v>3</v>
      </c>
      <c r="Z372" s="10" t="s">
        <v>660</v>
      </c>
      <c r="AA372" s="10" t="s">
        <v>485</v>
      </c>
      <c r="AB372" s="10" t="s">
        <v>661</v>
      </c>
      <c r="AC372" s="10" t="s">
        <v>662</v>
      </c>
      <c r="AF372" s="10" t="s">
        <v>102</v>
      </c>
      <c r="AG372" s="10">
        <v>1</v>
      </c>
    </row>
    <row r="373" spans="25:33" x14ac:dyDescent="0.25">
      <c r="Y373" s="9">
        <v>4</v>
      </c>
      <c r="Z373" s="9" t="s">
        <v>663</v>
      </c>
      <c r="AA373" s="9" t="s">
        <v>485</v>
      </c>
      <c r="AB373" s="9" t="s">
        <v>664</v>
      </c>
      <c r="AC373" s="9" t="s">
        <v>198</v>
      </c>
      <c r="AD373" s="9" t="s">
        <v>101</v>
      </c>
      <c r="AE373" s="9">
        <v>8.7245699999999995E-2</v>
      </c>
      <c r="AF373" s="9" t="s">
        <v>102</v>
      </c>
      <c r="AG373" s="9">
        <v>1</v>
      </c>
    </row>
    <row r="374" spans="25:33" x14ac:dyDescent="0.25">
      <c r="Y374" s="9">
        <v>4</v>
      </c>
      <c r="Z374" s="9" t="s">
        <v>665</v>
      </c>
      <c r="AA374" s="9" t="s">
        <v>25</v>
      </c>
      <c r="AB374" s="9"/>
      <c r="AC374" s="9" t="s">
        <v>666</v>
      </c>
      <c r="AD374" s="9" t="s">
        <v>27</v>
      </c>
      <c r="AE374" s="9"/>
      <c r="AF374" s="9"/>
      <c r="AG374" s="9">
        <v>6</v>
      </c>
    </row>
    <row r="375" spans="25:33" x14ac:dyDescent="0.25">
      <c r="Y375" s="9">
        <v>4</v>
      </c>
      <c r="Z375" s="9" t="s">
        <v>667</v>
      </c>
      <c r="AA375" s="9" t="s">
        <v>25</v>
      </c>
      <c r="AB375" s="9"/>
      <c r="AC375" s="9" t="s">
        <v>631</v>
      </c>
      <c r="AD375" s="9" t="s">
        <v>101</v>
      </c>
      <c r="AE375" s="9"/>
      <c r="AF375" s="9"/>
      <c r="AG375" s="9">
        <v>12</v>
      </c>
    </row>
    <row r="376" spans="25:33" x14ac:dyDescent="0.25">
      <c r="Y376" s="10">
        <v>3</v>
      </c>
      <c r="Z376" s="10" t="s">
        <v>261</v>
      </c>
      <c r="AA376" s="10" t="s">
        <v>25</v>
      </c>
      <c r="AB376" s="10"/>
      <c r="AC376" s="10" t="s">
        <v>9</v>
      </c>
      <c r="AD376" s="10" t="s">
        <v>27</v>
      </c>
      <c r="AE376" s="10"/>
      <c r="AF376" s="10"/>
      <c r="AG376" s="10">
        <v>2</v>
      </c>
    </row>
    <row r="377" spans="25:33" x14ac:dyDescent="0.25">
      <c r="Y377" s="10">
        <v>3</v>
      </c>
      <c r="Z377" s="10" t="s">
        <v>668</v>
      </c>
      <c r="AA377" s="10" t="s">
        <v>25</v>
      </c>
      <c r="AB377" s="10"/>
      <c r="AC377" s="10" t="s">
        <v>669</v>
      </c>
      <c r="AD377" s="10" t="s">
        <v>27</v>
      </c>
      <c r="AE377" s="10"/>
      <c r="AF377" s="10"/>
      <c r="AG377" s="10">
        <v>3</v>
      </c>
    </row>
    <row r="378" spans="25:33" x14ac:dyDescent="0.25">
      <c r="Y378" s="10">
        <v>3</v>
      </c>
      <c r="Z378" s="10" t="s">
        <v>670</v>
      </c>
      <c r="AA378" s="10" t="s">
        <v>25</v>
      </c>
      <c r="AB378" s="10"/>
      <c r="AC378" s="10" t="s">
        <v>671</v>
      </c>
      <c r="AD378" s="10" t="s">
        <v>27</v>
      </c>
      <c r="AE378" s="10"/>
      <c r="AF378" s="10"/>
      <c r="AG378" s="10">
        <v>3</v>
      </c>
    </row>
    <row r="379" spans="25:33" x14ac:dyDescent="0.25">
      <c r="Y379" s="10">
        <v>3</v>
      </c>
      <c r="Z379" s="10" t="s">
        <v>672</v>
      </c>
      <c r="AA379" s="10" t="s">
        <v>25</v>
      </c>
      <c r="AB379" s="10"/>
      <c r="AC379" s="10" t="s">
        <v>673</v>
      </c>
      <c r="AD379" s="10" t="s">
        <v>27</v>
      </c>
      <c r="AE379" s="10"/>
      <c r="AF379" s="10"/>
      <c r="AG379" s="10">
        <v>4</v>
      </c>
    </row>
    <row r="380" spans="25:33" x14ac:dyDescent="0.25">
      <c r="Y380" s="10">
        <v>3</v>
      </c>
      <c r="Z380" s="10" t="s">
        <v>674</v>
      </c>
      <c r="AA380" s="10" t="s">
        <v>25</v>
      </c>
      <c r="AB380" s="10" t="s">
        <v>675</v>
      </c>
      <c r="AC380" s="10" t="s">
        <v>675</v>
      </c>
      <c r="AD380" s="10" t="s">
        <v>27</v>
      </c>
      <c r="AE380" s="10"/>
      <c r="AF380" s="10"/>
      <c r="AG380" s="10">
        <v>5</v>
      </c>
    </row>
    <row r="381" spans="25:33" x14ac:dyDescent="0.25">
      <c r="Y381" s="10">
        <v>3</v>
      </c>
      <c r="Z381" s="10" t="s">
        <v>676</v>
      </c>
      <c r="AA381" s="10" t="s">
        <v>25</v>
      </c>
      <c r="AB381" s="10"/>
      <c r="AC381" s="10" t="s">
        <v>677</v>
      </c>
      <c r="AD381" s="10" t="s">
        <v>678</v>
      </c>
      <c r="AE381" s="10">
        <v>5.1305800000000005E-4</v>
      </c>
      <c r="AF381" s="10" t="s">
        <v>165</v>
      </c>
      <c r="AG381" s="10">
        <v>7</v>
      </c>
    </row>
    <row r="382" spans="25:33" x14ac:dyDescent="0.25">
      <c r="Y382" s="10">
        <v>3</v>
      </c>
      <c r="Z382" s="10" t="s">
        <v>679</v>
      </c>
      <c r="AA382" s="10" t="s">
        <v>25</v>
      </c>
      <c r="AB382" s="10"/>
      <c r="AC382" s="10" t="s">
        <v>680</v>
      </c>
      <c r="AD382" s="10" t="s">
        <v>27</v>
      </c>
      <c r="AE382" s="10"/>
      <c r="AF382" s="10"/>
      <c r="AG382" s="10">
        <v>7</v>
      </c>
    </row>
    <row r="383" spans="25:33" x14ac:dyDescent="0.25">
      <c r="Y383" s="10">
        <v>3</v>
      </c>
      <c r="Z383" s="10" t="s">
        <v>681</v>
      </c>
      <c r="AA383" s="10" t="s">
        <v>25</v>
      </c>
      <c r="AB383" s="10"/>
      <c r="AC383" s="10" t="s">
        <v>671</v>
      </c>
      <c r="AD383" s="10" t="s">
        <v>27</v>
      </c>
      <c r="AE383" s="10"/>
      <c r="AF383" s="10"/>
      <c r="AG383" s="10">
        <v>8</v>
      </c>
    </row>
    <row r="384" spans="25:33" x14ac:dyDescent="0.25">
      <c r="Y384" s="10">
        <v>3</v>
      </c>
      <c r="Z384" s="10" t="s">
        <v>6</v>
      </c>
      <c r="AA384" s="10" t="s">
        <v>35</v>
      </c>
      <c r="AB384" s="10"/>
      <c r="AC384" s="10" t="s">
        <v>7</v>
      </c>
      <c r="AD384" s="10" t="s">
        <v>27</v>
      </c>
      <c r="AE384" s="10"/>
      <c r="AF384" s="10"/>
      <c r="AG384" s="10">
        <v>8</v>
      </c>
    </row>
    <row r="385" spans="25:33" x14ac:dyDescent="0.25">
      <c r="Y385" s="10">
        <v>3</v>
      </c>
      <c r="Z385" s="10" t="s">
        <v>682</v>
      </c>
      <c r="AA385" s="10" t="s">
        <v>25</v>
      </c>
      <c r="AB385" s="10"/>
      <c r="AC385" s="10" t="s">
        <v>671</v>
      </c>
      <c r="AD385" s="10" t="s">
        <v>27</v>
      </c>
      <c r="AE385" s="10"/>
      <c r="AF385" s="10"/>
      <c r="AG385" s="10">
        <v>8</v>
      </c>
    </row>
    <row r="386" spans="25:33" x14ac:dyDescent="0.25">
      <c r="Y386" s="10">
        <v>3</v>
      </c>
      <c r="Z386" s="10" t="s">
        <v>259</v>
      </c>
      <c r="AA386" s="10" t="s">
        <v>35</v>
      </c>
      <c r="AB386" s="10"/>
      <c r="AC386" s="10" t="s">
        <v>260</v>
      </c>
      <c r="AD386" s="10" t="s">
        <v>27</v>
      </c>
      <c r="AE386" s="10">
        <v>3.5726600000000002E-4</v>
      </c>
      <c r="AF386" s="10"/>
      <c r="AG386" s="10">
        <v>8</v>
      </c>
    </row>
    <row r="387" spans="25:33" x14ac:dyDescent="0.25">
      <c r="Y387" s="10">
        <v>3</v>
      </c>
      <c r="Z387" s="10" t="s">
        <v>683</v>
      </c>
      <c r="AA387" s="10" t="s">
        <v>25</v>
      </c>
      <c r="AB387" s="10"/>
      <c r="AC387" s="10" t="s">
        <v>671</v>
      </c>
      <c r="AD387" s="10" t="s">
        <v>27</v>
      </c>
      <c r="AE387" s="10"/>
      <c r="AF387" s="10"/>
      <c r="AG387" s="10">
        <v>12</v>
      </c>
    </row>
    <row r="388" spans="25:33" x14ac:dyDescent="0.25">
      <c r="Y388" s="10">
        <v>3</v>
      </c>
      <c r="Z388" s="10" t="s">
        <v>8</v>
      </c>
      <c r="AA388" s="10" t="s">
        <v>25</v>
      </c>
      <c r="AB388" s="10"/>
      <c r="AC388" s="10" t="s">
        <v>9</v>
      </c>
      <c r="AD388" s="10" t="s">
        <v>27</v>
      </c>
      <c r="AE388" s="10"/>
      <c r="AF388" s="10"/>
      <c r="AG388" s="10">
        <v>18</v>
      </c>
    </row>
    <row r="389" spans="25:33" x14ac:dyDescent="0.25">
      <c r="Y389" s="9">
        <v>2</v>
      </c>
      <c r="Z389" s="9" t="s">
        <v>684</v>
      </c>
      <c r="AA389" s="9" t="s">
        <v>685</v>
      </c>
      <c r="AB389" s="9" t="s">
        <v>686</v>
      </c>
      <c r="AC389" s="9" t="s">
        <v>687</v>
      </c>
      <c r="AF389" s="9" t="s">
        <v>218</v>
      </c>
      <c r="AG389" s="9">
        <v>1</v>
      </c>
    </row>
    <row r="390" spans="25:33" x14ac:dyDescent="0.25">
      <c r="Y390" s="10">
        <v>3</v>
      </c>
      <c r="Z390" s="10" t="s">
        <v>688</v>
      </c>
      <c r="AA390" s="10" t="s">
        <v>40</v>
      </c>
      <c r="AB390" s="10" t="s">
        <v>689</v>
      </c>
      <c r="AC390" s="10" t="s">
        <v>690</v>
      </c>
      <c r="AF390" s="10" t="s">
        <v>223</v>
      </c>
      <c r="AG390" s="10">
        <v>1</v>
      </c>
    </row>
    <row r="391" spans="25:33" x14ac:dyDescent="0.25">
      <c r="Y391" s="9">
        <v>4</v>
      </c>
      <c r="Z391" s="9" t="s">
        <v>691</v>
      </c>
      <c r="AA391" s="9" t="s">
        <v>25</v>
      </c>
      <c r="AB391" s="9"/>
      <c r="AC391" s="9" t="s">
        <v>692</v>
      </c>
      <c r="AD391" s="9" t="s">
        <v>335</v>
      </c>
      <c r="AE391" s="9">
        <v>9.2577000000000007E-3</v>
      </c>
      <c r="AF391" s="9" t="s">
        <v>102</v>
      </c>
      <c r="AG391" s="9">
        <v>1</v>
      </c>
    </row>
    <row r="392" spans="25:33" x14ac:dyDescent="0.25">
      <c r="Y392" s="9">
        <v>4</v>
      </c>
      <c r="Z392" s="9" t="s">
        <v>693</v>
      </c>
      <c r="AA392" s="9" t="s">
        <v>40</v>
      </c>
      <c r="AB392" s="9" t="s">
        <v>694</v>
      </c>
      <c r="AC392" s="9" t="s">
        <v>694</v>
      </c>
      <c r="AF392" s="9" t="s">
        <v>223</v>
      </c>
      <c r="AG392" s="9">
        <v>1</v>
      </c>
    </row>
    <row r="393" spans="25:33" x14ac:dyDescent="0.25">
      <c r="Y393" s="10">
        <v>5</v>
      </c>
      <c r="Z393" s="10" t="s">
        <v>695</v>
      </c>
      <c r="AA393" s="10" t="s">
        <v>40</v>
      </c>
      <c r="AB393" s="10" t="s">
        <v>696</v>
      </c>
      <c r="AC393" s="10" t="s">
        <v>696</v>
      </c>
      <c r="AD393" s="10" t="s">
        <v>101</v>
      </c>
      <c r="AE393" s="10">
        <v>9.2841000000000007E-2</v>
      </c>
      <c r="AF393" s="10" t="s">
        <v>250</v>
      </c>
      <c r="AG393" s="10">
        <v>1</v>
      </c>
    </row>
    <row r="394" spans="25:33" x14ac:dyDescent="0.25">
      <c r="Y394" s="10">
        <v>5</v>
      </c>
      <c r="Z394" s="10" t="s">
        <v>697</v>
      </c>
      <c r="AA394" s="10" t="s">
        <v>40</v>
      </c>
      <c r="AB394" s="10" t="s">
        <v>696</v>
      </c>
      <c r="AC394" s="10" t="s">
        <v>696</v>
      </c>
      <c r="AD394" s="10" t="s">
        <v>101</v>
      </c>
      <c r="AE394" s="10">
        <v>7.7191200000000001E-2</v>
      </c>
      <c r="AF394" s="10" t="s">
        <v>250</v>
      </c>
      <c r="AG394" s="10">
        <v>1</v>
      </c>
    </row>
    <row r="395" spans="25:33" x14ac:dyDescent="0.25">
      <c r="Y395" s="10">
        <v>5</v>
      </c>
      <c r="Z395" s="10" t="s">
        <v>698</v>
      </c>
      <c r="AA395" s="10" t="s">
        <v>40</v>
      </c>
      <c r="AB395" s="10" t="s">
        <v>699</v>
      </c>
      <c r="AC395" s="10" t="s">
        <v>699</v>
      </c>
      <c r="AD395" s="10" t="s">
        <v>700</v>
      </c>
      <c r="AE395" s="10">
        <v>0.119308</v>
      </c>
      <c r="AF395" s="10" t="s">
        <v>250</v>
      </c>
      <c r="AG395" s="10">
        <v>1</v>
      </c>
    </row>
    <row r="396" spans="25:33" x14ac:dyDescent="0.25">
      <c r="Y396" s="10">
        <v>5</v>
      </c>
      <c r="Z396" s="10" t="s">
        <v>701</v>
      </c>
      <c r="AA396" s="10" t="s">
        <v>40</v>
      </c>
      <c r="AB396" s="10" t="s">
        <v>696</v>
      </c>
      <c r="AC396" s="10" t="s">
        <v>696</v>
      </c>
      <c r="AD396" s="10" t="s">
        <v>101</v>
      </c>
      <c r="AE396" s="10">
        <v>1.7346900000000001E-3</v>
      </c>
      <c r="AF396" s="10" t="s">
        <v>250</v>
      </c>
      <c r="AG396" s="10">
        <v>2</v>
      </c>
    </row>
    <row r="397" spans="25:33" x14ac:dyDescent="0.25">
      <c r="Y397" s="9">
        <v>4</v>
      </c>
      <c r="Z397" s="9" t="s">
        <v>702</v>
      </c>
      <c r="AA397" s="9" t="s">
        <v>40</v>
      </c>
      <c r="AB397" s="9" t="s">
        <v>702</v>
      </c>
      <c r="AC397" s="9" t="s">
        <v>594</v>
      </c>
      <c r="AD397" s="9" t="s">
        <v>594</v>
      </c>
      <c r="AE397" s="9">
        <v>3.1538899999999999E-3</v>
      </c>
      <c r="AF397" s="9" t="s">
        <v>165</v>
      </c>
      <c r="AG397" s="9">
        <v>1</v>
      </c>
    </row>
    <row r="398" spans="25:33" x14ac:dyDescent="0.25">
      <c r="Y398" s="9">
        <v>4</v>
      </c>
      <c r="Z398" s="9" t="s">
        <v>703</v>
      </c>
      <c r="AA398" s="9" t="s">
        <v>25</v>
      </c>
      <c r="AB398" s="9"/>
      <c r="AC398" s="9" t="s">
        <v>704</v>
      </c>
      <c r="AD398" s="9" t="s">
        <v>101</v>
      </c>
      <c r="AE398" s="9"/>
      <c r="AF398" s="9"/>
      <c r="AG398" s="9">
        <v>2</v>
      </c>
    </row>
    <row r="399" spans="25:33" x14ac:dyDescent="0.25">
      <c r="Y399" s="10">
        <v>3</v>
      </c>
      <c r="Z399" s="10" t="s">
        <v>705</v>
      </c>
      <c r="AA399" s="10" t="s">
        <v>78</v>
      </c>
      <c r="AB399" s="10" t="s">
        <v>706</v>
      </c>
      <c r="AC399" s="10" t="s">
        <v>706</v>
      </c>
      <c r="AF399" s="10"/>
      <c r="AG399" s="10">
        <v>1</v>
      </c>
    </row>
    <row r="400" spans="25:33" x14ac:dyDescent="0.25">
      <c r="Y400" s="9">
        <v>4</v>
      </c>
      <c r="Z400" s="9" t="s">
        <v>707</v>
      </c>
      <c r="AA400" s="9" t="s">
        <v>35</v>
      </c>
      <c r="AB400" s="9" t="s">
        <v>345</v>
      </c>
      <c r="AC400" s="9" t="s">
        <v>345</v>
      </c>
      <c r="AF400" s="9"/>
      <c r="AG400" s="9">
        <v>1</v>
      </c>
    </row>
    <row r="401" spans="25:33" x14ac:dyDescent="0.25">
      <c r="Y401" s="10">
        <v>5</v>
      </c>
      <c r="Z401" s="10" t="s">
        <v>708</v>
      </c>
      <c r="AA401" s="10" t="s">
        <v>35</v>
      </c>
      <c r="AB401" s="10" t="s">
        <v>474</v>
      </c>
      <c r="AC401" s="10" t="s">
        <v>474</v>
      </c>
      <c r="AF401" s="10"/>
      <c r="AG401" s="10">
        <v>1</v>
      </c>
    </row>
    <row r="402" spans="25:33" x14ac:dyDescent="0.25">
      <c r="Y402" s="9">
        <v>6</v>
      </c>
      <c r="Z402" s="9" t="s">
        <v>709</v>
      </c>
      <c r="AA402" s="9" t="s">
        <v>35</v>
      </c>
      <c r="AB402" s="9" t="s">
        <v>22</v>
      </c>
      <c r="AC402" s="9" t="s">
        <v>22</v>
      </c>
      <c r="AD402" s="9" t="s">
        <v>23</v>
      </c>
      <c r="AE402" s="9">
        <v>0.17497299999999999</v>
      </c>
      <c r="AF402" s="9"/>
      <c r="AG402" s="9">
        <v>1</v>
      </c>
    </row>
    <row r="403" spans="25:33" x14ac:dyDescent="0.25">
      <c r="Y403" s="9">
        <v>6</v>
      </c>
      <c r="Z403" s="9" t="s">
        <v>37</v>
      </c>
      <c r="AA403" s="9" t="s">
        <v>25</v>
      </c>
      <c r="AB403" s="9" t="s">
        <v>38</v>
      </c>
      <c r="AC403" s="9" t="s">
        <v>38</v>
      </c>
      <c r="AD403" s="9" t="s">
        <v>27</v>
      </c>
      <c r="AE403" s="9">
        <v>1.3392499999999999E-3</v>
      </c>
      <c r="AF403" s="9"/>
      <c r="AG403" s="9">
        <v>12</v>
      </c>
    </row>
    <row r="404" spans="25:33" x14ac:dyDescent="0.25">
      <c r="Y404" s="10">
        <v>5</v>
      </c>
      <c r="Z404" s="10" t="s">
        <v>710</v>
      </c>
      <c r="AA404" s="10" t="s">
        <v>35</v>
      </c>
      <c r="AB404" s="10" t="s">
        <v>474</v>
      </c>
      <c r="AC404" s="10" t="s">
        <v>474</v>
      </c>
      <c r="AF404" s="10"/>
      <c r="AG404" s="10">
        <v>1</v>
      </c>
    </row>
    <row r="405" spans="25:33" x14ac:dyDescent="0.25">
      <c r="Y405" s="9">
        <v>6</v>
      </c>
      <c r="Z405" s="9" t="s">
        <v>711</v>
      </c>
      <c r="AA405" s="9" t="s">
        <v>35</v>
      </c>
      <c r="AB405" s="9" t="s">
        <v>22</v>
      </c>
      <c r="AC405" s="9" t="s">
        <v>22</v>
      </c>
      <c r="AD405" s="9" t="s">
        <v>23</v>
      </c>
      <c r="AE405" s="9">
        <v>0.19290599999999999</v>
      </c>
      <c r="AF405" s="9"/>
      <c r="AG405" s="9">
        <v>1</v>
      </c>
    </row>
    <row r="406" spans="25:33" x14ac:dyDescent="0.25">
      <c r="Y406" s="9">
        <v>6</v>
      </c>
      <c r="Z406" s="9" t="s">
        <v>37</v>
      </c>
      <c r="AA406" s="9" t="s">
        <v>25</v>
      </c>
      <c r="AB406" s="9" t="s">
        <v>38</v>
      </c>
      <c r="AC406" s="9" t="s">
        <v>38</v>
      </c>
      <c r="AD406" s="9" t="s">
        <v>27</v>
      </c>
      <c r="AE406" s="9">
        <v>1.3392499999999999E-3</v>
      </c>
      <c r="AF406" s="9"/>
      <c r="AG406" s="9">
        <v>12</v>
      </c>
    </row>
    <row r="407" spans="25:33" x14ac:dyDescent="0.25">
      <c r="Y407" s="10">
        <v>5</v>
      </c>
      <c r="Z407" s="10" t="s">
        <v>712</v>
      </c>
      <c r="AA407" s="10" t="s">
        <v>35</v>
      </c>
      <c r="AB407" s="10" t="s">
        <v>22</v>
      </c>
      <c r="AC407" s="10" t="s">
        <v>22</v>
      </c>
      <c r="AD407" s="10" t="s">
        <v>23</v>
      </c>
      <c r="AE407" s="10">
        <v>8.2044800000000001E-2</v>
      </c>
      <c r="AF407" s="10"/>
      <c r="AG407" s="10">
        <v>1</v>
      </c>
    </row>
    <row r="408" spans="25:33" x14ac:dyDescent="0.25">
      <c r="Y408" s="10">
        <v>5</v>
      </c>
      <c r="Z408" s="10" t="s">
        <v>713</v>
      </c>
      <c r="AA408" s="10" t="s">
        <v>35</v>
      </c>
      <c r="AB408" s="10" t="s">
        <v>474</v>
      </c>
      <c r="AC408" s="10" t="s">
        <v>474</v>
      </c>
      <c r="AF408" s="10"/>
      <c r="AG408" s="10">
        <v>1</v>
      </c>
    </row>
    <row r="409" spans="25:33" x14ac:dyDescent="0.25">
      <c r="Y409" s="9">
        <v>6</v>
      </c>
      <c r="Z409" s="9" t="s">
        <v>714</v>
      </c>
      <c r="AA409" s="9" t="s">
        <v>35</v>
      </c>
      <c r="AB409" s="9" t="s">
        <v>22</v>
      </c>
      <c r="AC409" s="9" t="s">
        <v>22</v>
      </c>
      <c r="AD409" s="9" t="s">
        <v>715</v>
      </c>
      <c r="AE409" s="9">
        <v>0</v>
      </c>
      <c r="AF409" s="9"/>
      <c r="AG409" s="9">
        <v>1</v>
      </c>
    </row>
    <row r="410" spans="25:33" x14ac:dyDescent="0.25">
      <c r="Y410" s="9">
        <v>6</v>
      </c>
      <c r="Z410" s="9" t="s">
        <v>24</v>
      </c>
      <c r="AA410" s="9" t="s">
        <v>25</v>
      </c>
      <c r="AB410" s="9"/>
      <c r="AC410" s="9" t="s">
        <v>26</v>
      </c>
      <c r="AD410" s="9" t="s">
        <v>27</v>
      </c>
      <c r="AE410" s="9"/>
      <c r="AF410" s="9"/>
      <c r="AG410" s="9">
        <v>4</v>
      </c>
    </row>
    <row r="411" spans="25:33" x14ac:dyDescent="0.25">
      <c r="Y411" s="10">
        <v>5</v>
      </c>
      <c r="Z411" s="10" t="s">
        <v>716</v>
      </c>
      <c r="AA411" s="10" t="s">
        <v>35</v>
      </c>
      <c r="AB411" s="10" t="s">
        <v>22</v>
      </c>
      <c r="AC411" s="10" t="s">
        <v>22</v>
      </c>
      <c r="AD411" s="10" t="s">
        <v>23</v>
      </c>
      <c r="AE411" s="10">
        <v>0.16565299999999999</v>
      </c>
      <c r="AF411" s="10"/>
      <c r="AG411" s="10">
        <v>1</v>
      </c>
    </row>
    <row r="412" spans="25:33" x14ac:dyDescent="0.25">
      <c r="Y412" s="10">
        <v>5</v>
      </c>
      <c r="Z412" s="10" t="s">
        <v>717</v>
      </c>
      <c r="AA412" s="10" t="s">
        <v>25</v>
      </c>
      <c r="AB412" s="10"/>
      <c r="AC412" s="10" t="s">
        <v>718</v>
      </c>
      <c r="AD412" s="10" t="s">
        <v>335</v>
      </c>
      <c r="AE412" s="10"/>
      <c r="AF412" s="10"/>
      <c r="AG412" s="10">
        <v>30</v>
      </c>
    </row>
    <row r="413" spans="25:33" x14ac:dyDescent="0.25">
      <c r="Y413" s="9">
        <v>4</v>
      </c>
      <c r="Z413" s="9" t="s">
        <v>719</v>
      </c>
      <c r="AA413" s="9" t="s">
        <v>25</v>
      </c>
      <c r="AB413" s="9" t="s">
        <v>332</v>
      </c>
      <c r="AC413" s="9" t="s">
        <v>332</v>
      </c>
      <c r="AF413" s="9"/>
      <c r="AG413" s="9">
        <v>2</v>
      </c>
    </row>
    <row r="414" spans="25:33" x14ac:dyDescent="0.25">
      <c r="Y414" s="10">
        <v>5</v>
      </c>
      <c r="Z414" s="10" t="s">
        <v>720</v>
      </c>
      <c r="AA414" s="10" t="s">
        <v>25</v>
      </c>
      <c r="AB414" s="10" t="s">
        <v>334</v>
      </c>
      <c r="AC414" s="10" t="s">
        <v>334</v>
      </c>
      <c r="AD414" s="10" t="s">
        <v>335</v>
      </c>
      <c r="AE414" s="10">
        <v>0.45253199999999999</v>
      </c>
      <c r="AF414" s="10"/>
      <c r="AG414" s="10">
        <v>1</v>
      </c>
    </row>
    <row r="415" spans="25:33" x14ac:dyDescent="0.25">
      <c r="Y415" s="10">
        <v>5</v>
      </c>
      <c r="Z415" s="10" t="s">
        <v>721</v>
      </c>
      <c r="AA415" s="10" t="s">
        <v>25</v>
      </c>
      <c r="AB415" s="10" t="s">
        <v>337</v>
      </c>
      <c r="AC415" s="10" t="s">
        <v>337</v>
      </c>
      <c r="AD415" s="10" t="s">
        <v>335</v>
      </c>
      <c r="AE415" s="10">
        <v>0.42641299999999999</v>
      </c>
      <c r="AF415" s="10"/>
      <c r="AG415" s="10">
        <v>1</v>
      </c>
    </row>
    <row r="416" spans="25:33" x14ac:dyDescent="0.25">
      <c r="Y416" s="10">
        <v>5</v>
      </c>
      <c r="Z416" s="10" t="s">
        <v>722</v>
      </c>
      <c r="AA416" s="10" t="s">
        <v>25</v>
      </c>
      <c r="AB416" s="10" t="s">
        <v>339</v>
      </c>
      <c r="AC416" s="10" t="s">
        <v>339</v>
      </c>
      <c r="AD416" s="10" t="s">
        <v>335</v>
      </c>
      <c r="AE416" s="10">
        <v>0.85629699999999997</v>
      </c>
      <c r="AF416" s="10"/>
      <c r="AG416" s="10">
        <v>1</v>
      </c>
    </row>
    <row r="417" spans="25:33" x14ac:dyDescent="0.25">
      <c r="Y417" s="10">
        <v>5</v>
      </c>
      <c r="Z417" s="10" t="s">
        <v>723</v>
      </c>
      <c r="AA417" s="10" t="s">
        <v>25</v>
      </c>
      <c r="AB417" s="10" t="s">
        <v>341</v>
      </c>
      <c r="AC417" s="10" t="s">
        <v>342</v>
      </c>
      <c r="AD417" s="10" t="s">
        <v>335</v>
      </c>
      <c r="AE417" s="10">
        <v>0.1633</v>
      </c>
      <c r="AF417" s="10"/>
      <c r="AG417" s="10">
        <v>1</v>
      </c>
    </row>
    <row r="418" spans="25:33" x14ac:dyDescent="0.25">
      <c r="Y418" s="9">
        <v>4</v>
      </c>
      <c r="Z418" s="9" t="s">
        <v>8</v>
      </c>
      <c r="AA418" s="9" t="s">
        <v>25</v>
      </c>
      <c r="AB418" s="9"/>
      <c r="AC418" s="9" t="s">
        <v>9</v>
      </c>
      <c r="AD418" s="9" t="s">
        <v>27</v>
      </c>
      <c r="AE418" s="9"/>
      <c r="AF418" s="9"/>
      <c r="AG418" s="9">
        <v>12</v>
      </c>
    </row>
    <row r="419" spans="25:33" x14ac:dyDescent="0.25">
      <c r="Y419" s="10">
        <v>3</v>
      </c>
      <c r="Z419" s="10" t="s">
        <v>724</v>
      </c>
      <c r="AA419" s="10" t="s">
        <v>78</v>
      </c>
      <c r="AB419" s="10" t="s">
        <v>706</v>
      </c>
      <c r="AC419" s="10" t="s">
        <v>706</v>
      </c>
      <c r="AF419" s="10"/>
      <c r="AG419" s="10">
        <v>1</v>
      </c>
    </row>
    <row r="420" spans="25:33" x14ac:dyDescent="0.25">
      <c r="Y420" s="9">
        <v>4</v>
      </c>
      <c r="Z420" s="9" t="s">
        <v>725</v>
      </c>
      <c r="AA420" s="9" t="s">
        <v>35</v>
      </c>
      <c r="AB420" s="9" t="s">
        <v>345</v>
      </c>
      <c r="AC420" s="9" t="s">
        <v>345</v>
      </c>
      <c r="AF420" s="9"/>
      <c r="AG420" s="9">
        <v>1</v>
      </c>
    </row>
    <row r="421" spans="25:33" x14ac:dyDescent="0.25">
      <c r="Y421" s="10">
        <v>5</v>
      </c>
      <c r="Z421" s="10" t="s">
        <v>726</v>
      </c>
      <c r="AA421" s="10" t="s">
        <v>35</v>
      </c>
      <c r="AB421" s="10" t="s">
        <v>474</v>
      </c>
      <c r="AC421" s="10" t="s">
        <v>474</v>
      </c>
      <c r="AF421" s="10"/>
      <c r="AG421" s="10">
        <v>1</v>
      </c>
    </row>
    <row r="422" spans="25:33" x14ac:dyDescent="0.25">
      <c r="Y422" s="9">
        <v>6</v>
      </c>
      <c r="Z422" s="9" t="s">
        <v>727</v>
      </c>
      <c r="AA422" s="9" t="s">
        <v>35</v>
      </c>
      <c r="AB422" s="9" t="s">
        <v>22</v>
      </c>
      <c r="AC422" s="9" t="s">
        <v>22</v>
      </c>
      <c r="AD422" s="9" t="s">
        <v>23</v>
      </c>
      <c r="AE422" s="9">
        <v>0.167462</v>
      </c>
      <c r="AF422" s="9"/>
      <c r="AG422" s="9">
        <v>1</v>
      </c>
    </row>
    <row r="423" spans="25:33" x14ac:dyDescent="0.25">
      <c r="Y423" s="9">
        <v>6</v>
      </c>
      <c r="Z423" s="9" t="s">
        <v>37</v>
      </c>
      <c r="AA423" s="9" t="s">
        <v>25</v>
      </c>
      <c r="AB423" s="9" t="s">
        <v>38</v>
      </c>
      <c r="AC423" s="9" t="s">
        <v>38</v>
      </c>
      <c r="AD423" s="9" t="s">
        <v>27</v>
      </c>
      <c r="AE423" s="9">
        <v>1.3392499999999999E-3</v>
      </c>
      <c r="AF423" s="9"/>
      <c r="AG423" s="9">
        <v>12</v>
      </c>
    </row>
    <row r="424" spans="25:33" x14ac:dyDescent="0.25">
      <c r="Y424" s="10">
        <v>5</v>
      </c>
      <c r="Z424" s="10" t="s">
        <v>728</v>
      </c>
      <c r="AA424" s="10" t="s">
        <v>35</v>
      </c>
      <c r="AB424" s="10" t="s">
        <v>474</v>
      </c>
      <c r="AC424" s="10" t="s">
        <v>474</v>
      </c>
      <c r="AF424" s="10"/>
      <c r="AG424" s="10">
        <v>1</v>
      </c>
    </row>
    <row r="425" spans="25:33" x14ac:dyDescent="0.25">
      <c r="Y425" s="9">
        <v>6</v>
      </c>
      <c r="Z425" s="9" t="s">
        <v>729</v>
      </c>
      <c r="AA425" s="9" t="s">
        <v>35</v>
      </c>
      <c r="AB425" s="9" t="s">
        <v>22</v>
      </c>
      <c r="AC425" s="9" t="s">
        <v>22</v>
      </c>
      <c r="AD425" s="9" t="s">
        <v>23</v>
      </c>
      <c r="AE425" s="9">
        <v>0.173037</v>
      </c>
      <c r="AF425" s="9"/>
      <c r="AG425" s="9">
        <v>1</v>
      </c>
    </row>
    <row r="426" spans="25:33" x14ac:dyDescent="0.25">
      <c r="Y426" s="9">
        <v>6</v>
      </c>
      <c r="Z426" s="9" t="s">
        <v>37</v>
      </c>
      <c r="AA426" s="9" t="s">
        <v>25</v>
      </c>
      <c r="AB426" s="9" t="s">
        <v>38</v>
      </c>
      <c r="AC426" s="9" t="s">
        <v>38</v>
      </c>
      <c r="AD426" s="9" t="s">
        <v>27</v>
      </c>
      <c r="AE426" s="9">
        <v>1.3392499999999999E-3</v>
      </c>
      <c r="AF426" s="9"/>
      <c r="AG426" s="9">
        <v>12</v>
      </c>
    </row>
    <row r="427" spans="25:33" x14ac:dyDescent="0.25">
      <c r="Y427" s="10">
        <v>5</v>
      </c>
      <c r="Z427" s="10" t="s">
        <v>730</v>
      </c>
      <c r="AA427" s="10" t="s">
        <v>35</v>
      </c>
      <c r="AB427" s="10" t="s">
        <v>22</v>
      </c>
      <c r="AC427" s="10" t="s">
        <v>22</v>
      </c>
      <c r="AD427" s="10" t="s">
        <v>23</v>
      </c>
      <c r="AE427" s="10">
        <v>8.2045300000000002E-2</v>
      </c>
      <c r="AF427" s="10"/>
      <c r="AG427" s="10">
        <v>1</v>
      </c>
    </row>
    <row r="428" spans="25:33" x14ac:dyDescent="0.25">
      <c r="Y428" s="10">
        <v>5</v>
      </c>
      <c r="Z428" s="10" t="s">
        <v>731</v>
      </c>
      <c r="AA428" s="10" t="s">
        <v>35</v>
      </c>
      <c r="AB428" s="10" t="s">
        <v>474</v>
      </c>
      <c r="AC428" s="10" t="s">
        <v>474</v>
      </c>
      <c r="AF428" s="10"/>
      <c r="AG428" s="10">
        <v>1</v>
      </c>
    </row>
    <row r="429" spans="25:33" x14ac:dyDescent="0.25">
      <c r="Y429" s="9">
        <v>6</v>
      </c>
      <c r="Z429" s="9" t="s">
        <v>732</v>
      </c>
      <c r="AA429" s="9" t="s">
        <v>35</v>
      </c>
      <c r="AB429" s="9" t="s">
        <v>22</v>
      </c>
      <c r="AC429" s="9" t="s">
        <v>22</v>
      </c>
      <c r="AD429" s="9" t="s">
        <v>715</v>
      </c>
      <c r="AE429" s="9">
        <v>0</v>
      </c>
      <c r="AF429" s="9"/>
      <c r="AG429" s="9">
        <v>1</v>
      </c>
    </row>
    <row r="430" spans="25:33" x14ac:dyDescent="0.25">
      <c r="Y430" s="9">
        <v>6</v>
      </c>
      <c r="Z430" s="9" t="s">
        <v>24</v>
      </c>
      <c r="AA430" s="9" t="s">
        <v>25</v>
      </c>
      <c r="AB430" s="9"/>
      <c r="AC430" s="9" t="s">
        <v>26</v>
      </c>
      <c r="AD430" s="9" t="s">
        <v>27</v>
      </c>
      <c r="AE430" s="9"/>
      <c r="AF430" s="9"/>
      <c r="AG430" s="9">
        <v>4</v>
      </c>
    </row>
    <row r="431" spans="25:33" x14ac:dyDescent="0.25">
      <c r="Y431" s="10">
        <v>5</v>
      </c>
      <c r="Z431" s="10" t="s">
        <v>733</v>
      </c>
      <c r="AA431" s="10" t="s">
        <v>35</v>
      </c>
      <c r="AB431" s="10" t="s">
        <v>22</v>
      </c>
      <c r="AC431" s="10" t="s">
        <v>22</v>
      </c>
      <c r="AD431" s="10" t="s">
        <v>23</v>
      </c>
      <c r="AE431" s="10">
        <v>0.153306</v>
      </c>
      <c r="AF431" s="10"/>
      <c r="AG431" s="10">
        <v>1</v>
      </c>
    </row>
    <row r="432" spans="25:33" x14ac:dyDescent="0.25">
      <c r="Y432" s="10">
        <v>5</v>
      </c>
      <c r="Z432" s="10" t="s">
        <v>717</v>
      </c>
      <c r="AA432" s="10" t="s">
        <v>25</v>
      </c>
      <c r="AB432" s="10"/>
      <c r="AC432" s="10" t="s">
        <v>718</v>
      </c>
      <c r="AD432" s="10" t="s">
        <v>335</v>
      </c>
      <c r="AE432" s="10"/>
      <c r="AF432" s="10"/>
      <c r="AG432" s="10">
        <v>30</v>
      </c>
    </row>
    <row r="433" spans="25:33" x14ac:dyDescent="0.25">
      <c r="Y433" s="9">
        <v>4</v>
      </c>
      <c r="Z433" s="9" t="s">
        <v>719</v>
      </c>
      <c r="AA433" s="9" t="s">
        <v>25</v>
      </c>
      <c r="AB433" s="9" t="s">
        <v>332</v>
      </c>
      <c r="AC433" s="9" t="s">
        <v>332</v>
      </c>
      <c r="AF433" s="9"/>
      <c r="AG433" s="9">
        <v>2</v>
      </c>
    </row>
    <row r="434" spans="25:33" x14ac:dyDescent="0.25">
      <c r="Y434" s="10">
        <v>5</v>
      </c>
      <c r="Z434" s="10" t="s">
        <v>720</v>
      </c>
      <c r="AA434" s="10" t="s">
        <v>25</v>
      </c>
      <c r="AB434" s="10" t="s">
        <v>334</v>
      </c>
      <c r="AC434" s="10" t="s">
        <v>334</v>
      </c>
      <c r="AD434" s="10" t="s">
        <v>335</v>
      </c>
      <c r="AE434" s="10">
        <v>0.45253199999999999</v>
      </c>
      <c r="AF434" s="10"/>
      <c r="AG434" s="10">
        <v>1</v>
      </c>
    </row>
    <row r="435" spans="25:33" x14ac:dyDescent="0.25">
      <c r="Y435" s="10">
        <v>5</v>
      </c>
      <c r="Z435" s="10" t="s">
        <v>721</v>
      </c>
      <c r="AA435" s="10" t="s">
        <v>25</v>
      </c>
      <c r="AB435" s="10" t="s">
        <v>337</v>
      </c>
      <c r="AC435" s="10" t="s">
        <v>337</v>
      </c>
      <c r="AD435" s="10" t="s">
        <v>335</v>
      </c>
      <c r="AE435" s="10">
        <v>0.42641299999999999</v>
      </c>
      <c r="AF435" s="10"/>
      <c r="AG435" s="10">
        <v>1</v>
      </c>
    </row>
    <row r="436" spans="25:33" x14ac:dyDescent="0.25">
      <c r="Y436" s="10">
        <v>5</v>
      </c>
      <c r="Z436" s="10" t="s">
        <v>722</v>
      </c>
      <c r="AA436" s="10" t="s">
        <v>25</v>
      </c>
      <c r="AB436" s="10" t="s">
        <v>339</v>
      </c>
      <c r="AC436" s="10" t="s">
        <v>339</v>
      </c>
      <c r="AD436" s="10" t="s">
        <v>335</v>
      </c>
      <c r="AE436" s="10">
        <v>0.85629699999999997</v>
      </c>
      <c r="AF436" s="10"/>
      <c r="AG436" s="10">
        <v>1</v>
      </c>
    </row>
    <row r="437" spans="25:33" x14ac:dyDescent="0.25">
      <c r="Y437" s="10">
        <v>5</v>
      </c>
      <c r="Z437" s="10" t="s">
        <v>723</v>
      </c>
      <c r="AA437" s="10" t="s">
        <v>25</v>
      </c>
      <c r="AB437" s="10" t="s">
        <v>341</v>
      </c>
      <c r="AC437" s="10" t="s">
        <v>342</v>
      </c>
      <c r="AD437" s="10" t="s">
        <v>335</v>
      </c>
      <c r="AE437" s="10">
        <v>0.1633</v>
      </c>
      <c r="AF437" s="10"/>
      <c r="AG437" s="10">
        <v>1</v>
      </c>
    </row>
    <row r="438" spans="25:33" x14ac:dyDescent="0.25">
      <c r="Y438" s="9">
        <v>4</v>
      </c>
      <c r="Z438" s="9" t="s">
        <v>8</v>
      </c>
      <c r="AA438" s="9" t="s">
        <v>25</v>
      </c>
      <c r="AB438" s="9"/>
      <c r="AC438" s="9" t="s">
        <v>9</v>
      </c>
      <c r="AD438" s="9" t="s">
        <v>27</v>
      </c>
      <c r="AE438" s="9"/>
      <c r="AF438" s="9"/>
      <c r="AG438" s="9">
        <v>12</v>
      </c>
    </row>
    <row r="439" spans="25:33" x14ac:dyDescent="0.25">
      <c r="Y439" s="10">
        <v>3</v>
      </c>
      <c r="Z439" s="10" t="s">
        <v>734</v>
      </c>
      <c r="AA439" s="10" t="s">
        <v>78</v>
      </c>
      <c r="AB439" s="10" t="s">
        <v>706</v>
      </c>
      <c r="AC439" s="10" t="s">
        <v>706</v>
      </c>
      <c r="AF439" s="10"/>
      <c r="AG439" s="10">
        <v>1</v>
      </c>
    </row>
    <row r="440" spans="25:33" x14ac:dyDescent="0.25">
      <c r="Y440" s="9">
        <v>4</v>
      </c>
      <c r="Z440" s="9" t="s">
        <v>735</v>
      </c>
      <c r="AA440" s="9" t="s">
        <v>54</v>
      </c>
      <c r="AB440" s="9" t="s">
        <v>345</v>
      </c>
      <c r="AC440" s="9" t="s">
        <v>345</v>
      </c>
      <c r="AF440" s="9"/>
      <c r="AG440" s="9">
        <v>1</v>
      </c>
    </row>
    <row r="441" spans="25:33" x14ac:dyDescent="0.25">
      <c r="Y441" s="10">
        <v>5</v>
      </c>
      <c r="Z441" s="10" t="s">
        <v>736</v>
      </c>
      <c r="AA441" s="10" t="s">
        <v>54</v>
      </c>
      <c r="AB441" s="10" t="s">
        <v>474</v>
      </c>
      <c r="AC441" s="10" t="s">
        <v>474</v>
      </c>
      <c r="AF441" s="10"/>
      <c r="AG441" s="10">
        <v>1</v>
      </c>
    </row>
    <row r="442" spans="25:33" x14ac:dyDescent="0.25">
      <c r="Y442" s="9">
        <v>6</v>
      </c>
      <c r="Z442" s="9" t="s">
        <v>737</v>
      </c>
      <c r="AA442" s="9" t="s">
        <v>54</v>
      </c>
      <c r="AB442" s="9" t="s">
        <v>22</v>
      </c>
      <c r="AC442" s="9" t="s">
        <v>22</v>
      </c>
      <c r="AD442" s="9" t="s">
        <v>23</v>
      </c>
      <c r="AE442" s="9">
        <v>0.10795</v>
      </c>
      <c r="AF442" s="9"/>
      <c r="AG442" s="9">
        <v>1</v>
      </c>
    </row>
    <row r="443" spans="25:33" x14ac:dyDescent="0.25">
      <c r="Y443" s="9">
        <v>6</v>
      </c>
      <c r="Z443" s="9" t="s">
        <v>37</v>
      </c>
      <c r="AA443" s="9" t="s">
        <v>25</v>
      </c>
      <c r="AB443" s="9" t="s">
        <v>38</v>
      </c>
      <c r="AC443" s="9" t="s">
        <v>38</v>
      </c>
      <c r="AD443" s="9" t="s">
        <v>27</v>
      </c>
      <c r="AE443" s="9">
        <v>1.3392499999999999E-3</v>
      </c>
      <c r="AF443" s="9"/>
      <c r="AG443" s="9">
        <v>12</v>
      </c>
    </row>
    <row r="444" spans="25:33" x14ac:dyDescent="0.25">
      <c r="Y444" s="10">
        <v>5</v>
      </c>
      <c r="Z444" s="10" t="s">
        <v>738</v>
      </c>
      <c r="AA444" s="10" t="s">
        <v>54</v>
      </c>
      <c r="AB444" s="10" t="s">
        <v>474</v>
      </c>
      <c r="AC444" s="10" t="s">
        <v>474</v>
      </c>
      <c r="AF444" s="10"/>
      <c r="AG444" s="10">
        <v>1</v>
      </c>
    </row>
    <row r="445" spans="25:33" x14ac:dyDescent="0.25">
      <c r="Y445" s="9">
        <v>6</v>
      </c>
      <c r="Z445" s="9" t="s">
        <v>739</v>
      </c>
      <c r="AA445" s="9" t="s">
        <v>54</v>
      </c>
      <c r="AB445" s="9" t="s">
        <v>22</v>
      </c>
      <c r="AC445" s="9" t="s">
        <v>22</v>
      </c>
      <c r="AD445" s="9" t="s">
        <v>23</v>
      </c>
      <c r="AE445" s="9">
        <v>0.124413</v>
      </c>
      <c r="AF445" s="9"/>
      <c r="AG445" s="9">
        <v>1</v>
      </c>
    </row>
    <row r="446" spans="25:33" x14ac:dyDescent="0.25">
      <c r="Y446" s="9">
        <v>6</v>
      </c>
      <c r="Z446" s="9" t="s">
        <v>37</v>
      </c>
      <c r="AA446" s="9" t="s">
        <v>25</v>
      </c>
      <c r="AB446" s="9" t="s">
        <v>38</v>
      </c>
      <c r="AC446" s="9" t="s">
        <v>38</v>
      </c>
      <c r="AD446" s="9" t="s">
        <v>27</v>
      </c>
      <c r="AE446" s="9">
        <v>1.3392499999999999E-3</v>
      </c>
      <c r="AF446" s="9"/>
      <c r="AG446" s="9">
        <v>12</v>
      </c>
    </row>
    <row r="447" spans="25:33" x14ac:dyDescent="0.25">
      <c r="Y447" s="10">
        <v>5</v>
      </c>
      <c r="Z447" s="10" t="s">
        <v>740</v>
      </c>
      <c r="AA447" s="10" t="s">
        <v>54</v>
      </c>
      <c r="AB447" s="10" t="s">
        <v>22</v>
      </c>
      <c r="AC447" s="10" t="s">
        <v>22</v>
      </c>
      <c r="AD447" s="10" t="s">
        <v>23</v>
      </c>
      <c r="AE447" s="10">
        <v>0.118171</v>
      </c>
      <c r="AF447" s="10"/>
      <c r="AG447" s="10">
        <v>1</v>
      </c>
    </row>
    <row r="448" spans="25:33" x14ac:dyDescent="0.25">
      <c r="Y448" s="10">
        <v>5</v>
      </c>
      <c r="Z448" s="10" t="s">
        <v>741</v>
      </c>
      <c r="AA448" s="10" t="s">
        <v>54</v>
      </c>
      <c r="AB448" s="10" t="s">
        <v>474</v>
      </c>
      <c r="AC448" s="10" t="s">
        <v>474</v>
      </c>
      <c r="AF448" s="10"/>
      <c r="AG448" s="10">
        <v>1</v>
      </c>
    </row>
    <row r="449" spans="25:33" x14ac:dyDescent="0.25">
      <c r="Y449" s="9">
        <v>6</v>
      </c>
      <c r="Z449" s="9" t="s">
        <v>742</v>
      </c>
      <c r="AA449" s="9" t="s">
        <v>54</v>
      </c>
      <c r="AB449" s="9" t="s">
        <v>22</v>
      </c>
      <c r="AC449" s="9" t="s">
        <v>22</v>
      </c>
      <c r="AD449" s="9" t="s">
        <v>715</v>
      </c>
      <c r="AE449" s="9">
        <v>0.53243499999999999</v>
      </c>
      <c r="AF449" s="9"/>
      <c r="AG449" s="9">
        <v>1</v>
      </c>
    </row>
    <row r="450" spans="25:33" x14ac:dyDescent="0.25">
      <c r="Y450" s="9">
        <v>6</v>
      </c>
      <c r="Z450" s="9" t="s">
        <v>24</v>
      </c>
      <c r="AA450" s="9" t="s">
        <v>25</v>
      </c>
      <c r="AB450" s="9"/>
      <c r="AC450" s="9" t="s">
        <v>26</v>
      </c>
      <c r="AD450" s="9" t="s">
        <v>27</v>
      </c>
      <c r="AE450" s="9"/>
      <c r="AF450" s="9"/>
      <c r="AG450" s="9">
        <v>4</v>
      </c>
    </row>
    <row r="451" spans="25:33" x14ac:dyDescent="0.25">
      <c r="Y451" s="10">
        <v>5</v>
      </c>
      <c r="Z451" s="10" t="s">
        <v>743</v>
      </c>
      <c r="AA451" s="10" t="s">
        <v>54</v>
      </c>
      <c r="AB451" s="10" t="s">
        <v>22</v>
      </c>
      <c r="AC451" s="10" t="s">
        <v>22</v>
      </c>
      <c r="AD451" s="10" t="s">
        <v>23</v>
      </c>
      <c r="AE451" s="10">
        <v>0.354238</v>
      </c>
      <c r="AF451" s="10"/>
      <c r="AG451" s="10">
        <v>1</v>
      </c>
    </row>
    <row r="452" spans="25:33" x14ac:dyDescent="0.25">
      <c r="Y452" s="10">
        <v>5</v>
      </c>
      <c r="Z452" s="10" t="s">
        <v>717</v>
      </c>
      <c r="AA452" s="10" t="s">
        <v>25</v>
      </c>
      <c r="AB452" s="10"/>
      <c r="AC452" s="10" t="s">
        <v>718</v>
      </c>
      <c r="AD452" s="10" t="s">
        <v>335</v>
      </c>
      <c r="AE452" s="10"/>
      <c r="AF452" s="10"/>
      <c r="AG452" s="10">
        <v>34</v>
      </c>
    </row>
    <row r="453" spans="25:33" x14ac:dyDescent="0.25">
      <c r="Y453" s="9">
        <v>4</v>
      </c>
      <c r="Z453" s="9" t="s">
        <v>719</v>
      </c>
      <c r="AA453" s="9" t="s">
        <v>25</v>
      </c>
      <c r="AB453" s="9" t="s">
        <v>332</v>
      </c>
      <c r="AC453" s="9" t="s">
        <v>332</v>
      </c>
      <c r="AF453" s="9"/>
      <c r="AG453" s="9">
        <v>2</v>
      </c>
    </row>
    <row r="454" spans="25:33" x14ac:dyDescent="0.25">
      <c r="Y454" s="10">
        <v>5</v>
      </c>
      <c r="Z454" s="10" t="s">
        <v>720</v>
      </c>
      <c r="AA454" s="10" t="s">
        <v>25</v>
      </c>
      <c r="AB454" s="10" t="s">
        <v>334</v>
      </c>
      <c r="AC454" s="10" t="s">
        <v>334</v>
      </c>
      <c r="AD454" s="10" t="s">
        <v>335</v>
      </c>
      <c r="AE454" s="10">
        <v>0.45253199999999999</v>
      </c>
      <c r="AF454" s="10"/>
      <c r="AG454" s="10">
        <v>1</v>
      </c>
    </row>
    <row r="455" spans="25:33" x14ac:dyDescent="0.25">
      <c r="Y455" s="10">
        <v>5</v>
      </c>
      <c r="Z455" s="10" t="s">
        <v>721</v>
      </c>
      <c r="AA455" s="10" t="s">
        <v>25</v>
      </c>
      <c r="AB455" s="10" t="s">
        <v>337</v>
      </c>
      <c r="AC455" s="10" t="s">
        <v>337</v>
      </c>
      <c r="AD455" s="10" t="s">
        <v>335</v>
      </c>
      <c r="AE455" s="10">
        <v>0.42641299999999999</v>
      </c>
      <c r="AF455" s="10"/>
      <c r="AG455" s="10">
        <v>1</v>
      </c>
    </row>
    <row r="456" spans="25:33" x14ac:dyDescent="0.25">
      <c r="Y456" s="10">
        <v>5</v>
      </c>
      <c r="Z456" s="10" t="s">
        <v>722</v>
      </c>
      <c r="AA456" s="10" t="s">
        <v>25</v>
      </c>
      <c r="AB456" s="10" t="s">
        <v>339</v>
      </c>
      <c r="AC456" s="10" t="s">
        <v>339</v>
      </c>
      <c r="AD456" s="10" t="s">
        <v>335</v>
      </c>
      <c r="AE456" s="10">
        <v>0.85629699999999997</v>
      </c>
      <c r="AF456" s="10"/>
      <c r="AG456" s="10">
        <v>1</v>
      </c>
    </row>
    <row r="457" spans="25:33" x14ac:dyDescent="0.25">
      <c r="Y457" s="10">
        <v>5</v>
      </c>
      <c r="Z457" s="10" t="s">
        <v>723</v>
      </c>
      <c r="AA457" s="10" t="s">
        <v>25</v>
      </c>
      <c r="AB457" s="10" t="s">
        <v>341</v>
      </c>
      <c r="AC457" s="10" t="s">
        <v>342</v>
      </c>
      <c r="AD457" s="10" t="s">
        <v>335</v>
      </c>
      <c r="AE457" s="10">
        <v>0.1633</v>
      </c>
      <c r="AF457" s="10"/>
      <c r="AG457" s="10">
        <v>1</v>
      </c>
    </row>
    <row r="458" spans="25:33" x14ac:dyDescent="0.25">
      <c r="Y458" s="9">
        <v>4</v>
      </c>
      <c r="Z458" s="9" t="s">
        <v>8</v>
      </c>
      <c r="AA458" s="9" t="s">
        <v>25</v>
      </c>
      <c r="AB458" s="9"/>
      <c r="AC458" s="9" t="s">
        <v>9</v>
      </c>
      <c r="AD458" s="9" t="s">
        <v>27</v>
      </c>
      <c r="AE458" s="9"/>
      <c r="AF458" s="9"/>
      <c r="AG458" s="9">
        <v>12</v>
      </c>
    </row>
    <row r="459" spans="25:33" ht="30" x14ac:dyDescent="0.25">
      <c r="Y459" s="10">
        <v>3</v>
      </c>
      <c r="Z459" s="10" t="s">
        <v>744</v>
      </c>
      <c r="AA459" s="10" t="s">
        <v>574</v>
      </c>
      <c r="AB459" s="12" t="s">
        <v>745</v>
      </c>
      <c r="AC459" s="10" t="s">
        <v>746</v>
      </c>
      <c r="AF459" s="10" t="s">
        <v>218</v>
      </c>
      <c r="AG459" s="10">
        <v>1</v>
      </c>
    </row>
    <row r="460" spans="25:33" x14ac:dyDescent="0.25">
      <c r="Y460" s="9">
        <v>4</v>
      </c>
      <c r="Z460" s="9" t="s">
        <v>747</v>
      </c>
      <c r="AA460" s="9" t="s">
        <v>17</v>
      </c>
      <c r="AB460" s="9"/>
      <c r="AC460" s="9" t="s">
        <v>748</v>
      </c>
      <c r="AD460" s="9" t="s">
        <v>335</v>
      </c>
      <c r="AE460" s="9">
        <v>5.9449100000000003E-3</v>
      </c>
      <c r="AF460" s="9" t="s">
        <v>150</v>
      </c>
      <c r="AG460" s="9">
        <v>1</v>
      </c>
    </row>
    <row r="461" spans="25:33" x14ac:dyDescent="0.25">
      <c r="Y461" s="9">
        <v>4</v>
      </c>
      <c r="Z461" s="9" t="s">
        <v>749</v>
      </c>
      <c r="AA461" s="9" t="s">
        <v>17</v>
      </c>
      <c r="AB461" s="9"/>
      <c r="AC461" s="9" t="s">
        <v>750</v>
      </c>
      <c r="AD461" s="9" t="s">
        <v>751</v>
      </c>
      <c r="AE461" s="9">
        <v>2.5520899999999999E-3</v>
      </c>
      <c r="AF461" s="9" t="s">
        <v>150</v>
      </c>
      <c r="AG461" s="9">
        <v>1</v>
      </c>
    </row>
    <row r="462" spans="25:33" x14ac:dyDescent="0.25">
      <c r="Y462" s="9">
        <v>4</v>
      </c>
      <c r="Z462" s="9" t="s">
        <v>752</v>
      </c>
      <c r="AA462" s="9" t="s">
        <v>86</v>
      </c>
      <c r="AB462" s="9" t="s">
        <v>753</v>
      </c>
      <c r="AC462" s="9" t="s">
        <v>753</v>
      </c>
      <c r="AD462" s="9" t="s">
        <v>294</v>
      </c>
      <c r="AE462" s="9">
        <v>1.76604E-3</v>
      </c>
      <c r="AF462" s="9"/>
      <c r="AG462" s="9">
        <v>1</v>
      </c>
    </row>
    <row r="463" spans="25:33" x14ac:dyDescent="0.25">
      <c r="Y463" s="9">
        <v>4</v>
      </c>
      <c r="Z463" s="9" t="s">
        <v>754</v>
      </c>
      <c r="AA463" s="9" t="s">
        <v>17</v>
      </c>
      <c r="AB463" s="9"/>
      <c r="AC463" s="9" t="s">
        <v>755</v>
      </c>
      <c r="AD463" s="9" t="s">
        <v>335</v>
      </c>
      <c r="AE463" s="9">
        <v>1.9630399999999999E-2</v>
      </c>
      <c r="AF463" s="9" t="s">
        <v>150</v>
      </c>
      <c r="AG463" s="9">
        <v>1</v>
      </c>
    </row>
    <row r="464" spans="25:33" x14ac:dyDescent="0.25">
      <c r="Y464" s="9">
        <v>4</v>
      </c>
      <c r="Z464" s="9" t="s">
        <v>756</v>
      </c>
      <c r="AA464" s="9" t="s">
        <v>17</v>
      </c>
      <c r="AB464" s="9"/>
      <c r="AC464" s="9" t="s">
        <v>757</v>
      </c>
      <c r="AF464" s="9" t="s">
        <v>218</v>
      </c>
      <c r="AG464" s="9">
        <v>1</v>
      </c>
    </row>
    <row r="465" spans="25:33" x14ac:dyDescent="0.25">
      <c r="Y465" s="10">
        <v>5</v>
      </c>
      <c r="Z465" s="10" t="s">
        <v>758</v>
      </c>
      <c r="AA465" s="10" t="s">
        <v>17</v>
      </c>
      <c r="AB465" s="10"/>
      <c r="AC465" s="10" t="s">
        <v>759</v>
      </c>
      <c r="AD465" s="10" t="s">
        <v>594</v>
      </c>
      <c r="AE465" s="13">
        <v>9.22966E-5</v>
      </c>
      <c r="AF465" s="10" t="s">
        <v>165</v>
      </c>
      <c r="AG465" s="10">
        <v>1</v>
      </c>
    </row>
    <row r="466" spans="25:33" x14ac:dyDescent="0.25">
      <c r="Y466" s="10">
        <v>5</v>
      </c>
      <c r="Z466" s="10" t="s">
        <v>760</v>
      </c>
      <c r="AA466" s="10" t="s">
        <v>17</v>
      </c>
      <c r="AB466" s="10"/>
      <c r="AC466" s="10" t="s">
        <v>309</v>
      </c>
      <c r="AD466" s="10" t="s">
        <v>101</v>
      </c>
      <c r="AE466" s="10">
        <v>4.9734100000000002E-3</v>
      </c>
      <c r="AF466" s="10" t="s">
        <v>150</v>
      </c>
      <c r="AG466" s="10">
        <v>1</v>
      </c>
    </row>
    <row r="467" spans="25:33" x14ac:dyDescent="0.25">
      <c r="Y467" s="9">
        <v>4</v>
      </c>
      <c r="Z467" s="9" t="s">
        <v>761</v>
      </c>
      <c r="AA467" s="9" t="s">
        <v>17</v>
      </c>
      <c r="AB467" s="9"/>
      <c r="AC467" s="9" t="s">
        <v>762</v>
      </c>
      <c r="AD467" s="9" t="s">
        <v>763</v>
      </c>
      <c r="AE467" s="9">
        <v>7.8660000000000004E-4</v>
      </c>
      <c r="AF467" s="9" t="s">
        <v>165</v>
      </c>
      <c r="AG467" s="9">
        <v>2</v>
      </c>
    </row>
    <row r="468" spans="25:33" x14ac:dyDescent="0.25">
      <c r="Y468" s="9">
        <v>4</v>
      </c>
      <c r="Z468" s="9" t="s">
        <v>764</v>
      </c>
      <c r="AA468" s="9" t="s">
        <v>25</v>
      </c>
      <c r="AB468" s="9"/>
      <c r="AC468" s="9" t="s">
        <v>9</v>
      </c>
      <c r="AD468" s="9" t="s">
        <v>27</v>
      </c>
      <c r="AE468" s="9"/>
      <c r="AF468" s="9"/>
      <c r="AG468" s="9">
        <v>2</v>
      </c>
    </row>
    <row r="469" spans="25:33" ht="45" x14ac:dyDescent="0.25">
      <c r="Y469" s="10">
        <v>3</v>
      </c>
      <c r="Z469" s="10" t="s">
        <v>765</v>
      </c>
      <c r="AA469" s="10" t="s">
        <v>25</v>
      </c>
      <c r="AB469" s="12" t="s">
        <v>766</v>
      </c>
      <c r="AC469" s="10" t="s">
        <v>767</v>
      </c>
      <c r="AD469" s="10"/>
      <c r="AE469" s="10">
        <v>0</v>
      </c>
      <c r="AF469" s="10"/>
      <c r="AG469" s="10">
        <v>1</v>
      </c>
    </row>
    <row r="470" spans="25:33" x14ac:dyDescent="0.25">
      <c r="Y470" s="10">
        <v>3</v>
      </c>
      <c r="Z470" s="10" t="s">
        <v>768</v>
      </c>
      <c r="AA470" s="10" t="s">
        <v>35</v>
      </c>
      <c r="AB470" s="10" t="s">
        <v>769</v>
      </c>
      <c r="AC470" s="10" t="s">
        <v>769</v>
      </c>
      <c r="AD470" s="10" t="s">
        <v>770</v>
      </c>
      <c r="AE470" s="10">
        <v>0.34294799999999998</v>
      </c>
      <c r="AF470" s="10"/>
      <c r="AG470" s="10">
        <v>1</v>
      </c>
    </row>
    <row r="471" spans="25:33" x14ac:dyDescent="0.25">
      <c r="Y471" s="10">
        <v>3</v>
      </c>
      <c r="Z471" s="10" t="s">
        <v>771</v>
      </c>
      <c r="AA471" s="10" t="s">
        <v>685</v>
      </c>
      <c r="AB471" s="10" t="s">
        <v>772</v>
      </c>
      <c r="AC471" s="10" t="s">
        <v>772</v>
      </c>
      <c r="AF471" s="10" t="s">
        <v>15</v>
      </c>
      <c r="AG471" s="10">
        <v>1</v>
      </c>
    </row>
    <row r="472" spans="25:33" x14ac:dyDescent="0.25">
      <c r="Y472" s="9">
        <v>4</v>
      </c>
      <c r="Z472" s="9" t="s">
        <v>773</v>
      </c>
      <c r="AA472" s="9" t="s">
        <v>54</v>
      </c>
      <c r="AB472" s="9" t="s">
        <v>774</v>
      </c>
      <c r="AC472" s="9" t="s">
        <v>774</v>
      </c>
      <c r="AF472" s="9"/>
      <c r="AG472" s="9">
        <v>1</v>
      </c>
    </row>
    <row r="473" spans="25:33" x14ac:dyDescent="0.25">
      <c r="Y473" s="10">
        <v>5</v>
      </c>
      <c r="Z473" s="10" t="s">
        <v>775</v>
      </c>
      <c r="AA473" s="10" t="s">
        <v>54</v>
      </c>
      <c r="AB473" s="10" t="s">
        <v>776</v>
      </c>
      <c r="AC473" s="10" t="s">
        <v>776</v>
      </c>
      <c r="AD473" s="10" t="s">
        <v>60</v>
      </c>
      <c r="AE473" s="10">
        <v>0.455063</v>
      </c>
      <c r="AF473" s="10"/>
      <c r="AG473" s="10">
        <v>1</v>
      </c>
    </row>
    <row r="474" spans="25:33" x14ac:dyDescent="0.25">
      <c r="Y474" s="10">
        <v>5</v>
      </c>
      <c r="Z474" s="10" t="s">
        <v>48</v>
      </c>
      <c r="AA474" s="10" t="s">
        <v>25</v>
      </c>
      <c r="AB474" s="10"/>
      <c r="AC474" s="10" t="s">
        <v>36</v>
      </c>
      <c r="AD474" s="10" t="s">
        <v>27</v>
      </c>
      <c r="AE474" s="10">
        <v>6.0409799999999996E-3</v>
      </c>
      <c r="AF474" s="10"/>
      <c r="AG474" s="10">
        <v>4</v>
      </c>
    </row>
    <row r="475" spans="25:33" x14ac:dyDescent="0.25">
      <c r="Y475" s="9">
        <v>4</v>
      </c>
      <c r="Z475" s="9" t="s">
        <v>777</v>
      </c>
      <c r="AA475" s="9" t="s">
        <v>685</v>
      </c>
      <c r="AB475" s="9" t="s">
        <v>778</v>
      </c>
      <c r="AC475" s="9" t="s">
        <v>778</v>
      </c>
      <c r="AF475" s="9" t="s">
        <v>19</v>
      </c>
      <c r="AG475" s="9">
        <v>1</v>
      </c>
    </row>
    <row r="476" spans="25:33" x14ac:dyDescent="0.25">
      <c r="Y476" s="10">
        <v>5</v>
      </c>
      <c r="Z476" s="10" t="s">
        <v>779</v>
      </c>
      <c r="AA476" s="10" t="s">
        <v>780</v>
      </c>
      <c r="AB476" s="10" t="s">
        <v>781</v>
      </c>
      <c r="AC476" s="10" t="s">
        <v>141</v>
      </c>
      <c r="AD476" s="10" t="s">
        <v>782</v>
      </c>
      <c r="AE476" s="10">
        <v>3.9038900000000001E-2</v>
      </c>
      <c r="AF476" s="10" t="s">
        <v>19</v>
      </c>
      <c r="AG476" s="10">
        <v>1</v>
      </c>
    </row>
    <row r="477" spans="25:33" x14ac:dyDescent="0.25">
      <c r="Y477" s="10">
        <v>5</v>
      </c>
      <c r="Z477" s="10" t="s">
        <v>783</v>
      </c>
      <c r="AA477" s="10" t="s">
        <v>685</v>
      </c>
      <c r="AB477" s="10" t="s">
        <v>784</v>
      </c>
      <c r="AC477" s="10" t="s">
        <v>785</v>
      </c>
      <c r="AD477" s="10" t="s">
        <v>60</v>
      </c>
      <c r="AE477" s="10">
        <v>0.134294</v>
      </c>
      <c r="AF477" s="10" t="s">
        <v>19</v>
      </c>
      <c r="AG477" s="10">
        <v>1</v>
      </c>
    </row>
    <row r="478" spans="25:33" x14ac:dyDescent="0.25">
      <c r="Y478" s="10">
        <v>5</v>
      </c>
      <c r="Z478" s="10" t="s">
        <v>56</v>
      </c>
      <c r="AA478" s="10" t="s">
        <v>25</v>
      </c>
      <c r="AB478" s="10" t="s">
        <v>57</v>
      </c>
      <c r="AC478" s="10" t="s">
        <v>57</v>
      </c>
      <c r="AD478" s="10" t="s">
        <v>27</v>
      </c>
      <c r="AE478" s="10"/>
      <c r="AF478" s="10"/>
      <c r="AG478" s="10">
        <v>16</v>
      </c>
    </row>
    <row r="479" spans="25:33" x14ac:dyDescent="0.25">
      <c r="Y479" s="9">
        <v>4</v>
      </c>
      <c r="Z479" s="9" t="s">
        <v>786</v>
      </c>
      <c r="AA479" s="9" t="s">
        <v>17</v>
      </c>
      <c r="AB479" s="9" t="s">
        <v>787</v>
      </c>
      <c r="AC479" s="9" t="s">
        <v>787</v>
      </c>
      <c r="AF479" s="9" t="s">
        <v>218</v>
      </c>
      <c r="AG479" s="9">
        <v>1</v>
      </c>
    </row>
    <row r="480" spans="25:33" x14ac:dyDescent="0.25">
      <c r="Y480" s="10">
        <v>5</v>
      </c>
      <c r="Z480" s="10" t="s">
        <v>788</v>
      </c>
      <c r="AA480" s="10" t="s">
        <v>25</v>
      </c>
      <c r="AB480" s="10" t="s">
        <v>789</v>
      </c>
      <c r="AC480" s="10" t="s">
        <v>790</v>
      </c>
      <c r="AD480" s="10" t="s">
        <v>101</v>
      </c>
      <c r="AE480" s="10">
        <v>9.3418799999999996E-2</v>
      </c>
      <c r="AF480" s="10"/>
      <c r="AG480" s="10">
        <v>1</v>
      </c>
    </row>
    <row r="481" spans="25:33" ht="30" x14ac:dyDescent="0.25">
      <c r="Y481" s="10">
        <v>5</v>
      </c>
      <c r="Z481" s="10" t="s">
        <v>791</v>
      </c>
      <c r="AA481" s="10" t="s">
        <v>25</v>
      </c>
      <c r="AB481" s="12" t="s">
        <v>792</v>
      </c>
      <c r="AC481" s="10" t="s">
        <v>793</v>
      </c>
      <c r="AD481" s="10" t="s">
        <v>101</v>
      </c>
      <c r="AE481" s="10">
        <v>4.7199600000000001E-2</v>
      </c>
      <c r="AF481" s="10"/>
      <c r="AG481" s="10">
        <v>1</v>
      </c>
    </row>
    <row r="482" spans="25:33" ht="30" x14ac:dyDescent="0.25">
      <c r="Y482" s="10">
        <v>5</v>
      </c>
      <c r="Z482" s="10" t="s">
        <v>794</v>
      </c>
      <c r="AA482" s="10" t="s">
        <v>25</v>
      </c>
      <c r="AB482" s="12" t="s">
        <v>795</v>
      </c>
      <c r="AC482" s="10" t="s">
        <v>793</v>
      </c>
      <c r="AD482" s="10" t="s">
        <v>101</v>
      </c>
      <c r="AE482" s="10">
        <v>2.9291600000000001E-2</v>
      </c>
      <c r="AF482" s="10"/>
      <c r="AG482" s="10">
        <v>1</v>
      </c>
    </row>
    <row r="483" spans="25:33" x14ac:dyDescent="0.25">
      <c r="Y483" s="10">
        <v>5</v>
      </c>
      <c r="Z483" s="10" t="s">
        <v>253</v>
      </c>
      <c r="AA483" s="10" t="s">
        <v>25</v>
      </c>
      <c r="AB483" s="10" t="s">
        <v>254</v>
      </c>
      <c r="AC483" s="10" t="s">
        <v>254</v>
      </c>
      <c r="AD483" s="10" t="s">
        <v>27</v>
      </c>
      <c r="AE483" s="10"/>
      <c r="AF483" s="10"/>
      <c r="AG483" s="10">
        <v>8</v>
      </c>
    </row>
    <row r="484" spans="25:33" x14ac:dyDescent="0.25">
      <c r="Y484" s="10">
        <v>5</v>
      </c>
      <c r="Z484" s="10" t="s">
        <v>796</v>
      </c>
      <c r="AA484" s="10" t="s">
        <v>25</v>
      </c>
      <c r="AB484" s="10"/>
      <c r="AC484" s="10" t="s">
        <v>5</v>
      </c>
      <c r="AD484" s="10" t="s">
        <v>27</v>
      </c>
      <c r="AE484" s="10"/>
      <c r="AF484" s="10"/>
      <c r="AG484" s="10">
        <v>8</v>
      </c>
    </row>
    <row r="485" spans="25:33" x14ac:dyDescent="0.25">
      <c r="Y485" s="9">
        <v>4</v>
      </c>
      <c r="Z485" s="9" t="s">
        <v>797</v>
      </c>
      <c r="AA485" s="9" t="s">
        <v>798</v>
      </c>
      <c r="AB485" s="9" t="s">
        <v>72</v>
      </c>
      <c r="AC485" s="9" t="s">
        <v>72</v>
      </c>
      <c r="AF485" s="9" t="s">
        <v>19</v>
      </c>
      <c r="AG485" s="9">
        <v>1</v>
      </c>
    </row>
    <row r="486" spans="25:33" x14ac:dyDescent="0.25">
      <c r="Y486" s="10">
        <v>5</v>
      </c>
      <c r="Z486" s="10" t="s">
        <v>799</v>
      </c>
      <c r="AA486" s="10" t="s">
        <v>798</v>
      </c>
      <c r="AB486" s="10" t="s">
        <v>800</v>
      </c>
      <c r="AC486" s="10" t="s">
        <v>800</v>
      </c>
      <c r="AD486" s="10" t="s">
        <v>45</v>
      </c>
      <c r="AE486" s="10">
        <v>0.177924</v>
      </c>
      <c r="AF486" s="10" t="s">
        <v>19</v>
      </c>
      <c r="AG486" s="10">
        <v>1</v>
      </c>
    </row>
    <row r="487" spans="25:33" x14ac:dyDescent="0.25">
      <c r="Y487" s="10">
        <v>5</v>
      </c>
      <c r="Z487" s="10" t="s">
        <v>75</v>
      </c>
      <c r="AA487" s="10" t="s">
        <v>25</v>
      </c>
      <c r="AB487" s="10" t="s">
        <v>76</v>
      </c>
      <c r="AC487" s="10" t="s">
        <v>76</v>
      </c>
      <c r="AD487" s="10" t="s">
        <v>27</v>
      </c>
      <c r="AE487" s="10"/>
      <c r="AF487" s="10"/>
      <c r="AG487" s="10">
        <v>5</v>
      </c>
    </row>
    <row r="488" spans="25:33" x14ac:dyDescent="0.25">
      <c r="Y488" s="10">
        <v>5</v>
      </c>
      <c r="Z488" s="10" t="s">
        <v>51</v>
      </c>
      <c r="AA488" s="10" t="s">
        <v>25</v>
      </c>
      <c r="AB488" s="10" t="s">
        <v>52</v>
      </c>
      <c r="AC488" s="10" t="s">
        <v>52</v>
      </c>
      <c r="AD488" s="10" t="s">
        <v>27</v>
      </c>
      <c r="AE488" s="10"/>
      <c r="AF488" s="10"/>
      <c r="AG488" s="10">
        <v>7</v>
      </c>
    </row>
    <row r="489" spans="25:33" x14ac:dyDescent="0.25">
      <c r="Y489" s="10">
        <v>5</v>
      </c>
      <c r="Z489" s="10" t="s">
        <v>56</v>
      </c>
      <c r="AA489" s="10" t="s">
        <v>25</v>
      </c>
      <c r="AB489" s="10" t="s">
        <v>57</v>
      </c>
      <c r="AC489" s="10" t="s">
        <v>57</v>
      </c>
      <c r="AD489" s="10" t="s">
        <v>27</v>
      </c>
      <c r="AE489" s="10"/>
      <c r="AF489" s="10"/>
      <c r="AG489" s="10">
        <v>8</v>
      </c>
    </row>
    <row r="490" spans="25:33" x14ac:dyDescent="0.25">
      <c r="Y490" s="10">
        <v>5</v>
      </c>
      <c r="Z490" s="10" t="s">
        <v>49</v>
      </c>
      <c r="AA490" s="10" t="s">
        <v>25</v>
      </c>
      <c r="AB490" s="10" t="s">
        <v>50</v>
      </c>
      <c r="AC490" s="10" t="s">
        <v>50</v>
      </c>
      <c r="AD490" s="10" t="s">
        <v>27</v>
      </c>
      <c r="AE490" s="10"/>
      <c r="AF490" s="10"/>
      <c r="AG490" s="10">
        <v>31</v>
      </c>
    </row>
    <row r="491" spans="25:33" x14ac:dyDescent="0.25">
      <c r="Y491" s="9">
        <v>4</v>
      </c>
      <c r="Z491" s="9" t="s">
        <v>801</v>
      </c>
      <c r="AA491" s="9" t="s">
        <v>485</v>
      </c>
      <c r="AB491" s="9" t="s">
        <v>802</v>
      </c>
      <c r="AC491" s="9" t="s">
        <v>802</v>
      </c>
      <c r="AF491" s="9" t="s">
        <v>19</v>
      </c>
      <c r="AG491" s="9">
        <v>1</v>
      </c>
    </row>
    <row r="492" spans="25:33" x14ac:dyDescent="0.25">
      <c r="Y492" s="10">
        <v>5</v>
      </c>
      <c r="Z492" s="10" t="s">
        <v>803</v>
      </c>
      <c r="AA492" s="10" t="s">
        <v>485</v>
      </c>
      <c r="AB492" s="10" t="s">
        <v>804</v>
      </c>
      <c r="AC492" s="10" t="s">
        <v>804</v>
      </c>
      <c r="AD492" s="10" t="s">
        <v>45</v>
      </c>
      <c r="AE492" s="10">
        <v>6.8682000000000007E-2</v>
      </c>
      <c r="AF492" s="10" t="s">
        <v>19</v>
      </c>
      <c r="AG492" s="10">
        <v>1</v>
      </c>
    </row>
    <row r="493" spans="25:33" x14ac:dyDescent="0.25">
      <c r="Y493" s="10">
        <v>5</v>
      </c>
      <c r="Z493" s="10" t="s">
        <v>49</v>
      </c>
      <c r="AA493" s="10" t="s">
        <v>25</v>
      </c>
      <c r="AB493" s="10" t="s">
        <v>50</v>
      </c>
      <c r="AC493" s="10" t="s">
        <v>50</v>
      </c>
      <c r="AD493" s="10" t="s">
        <v>27</v>
      </c>
      <c r="AE493" s="10"/>
      <c r="AF493" s="10"/>
      <c r="AG493" s="10">
        <v>12</v>
      </c>
    </row>
    <row r="494" spans="25:33" x14ac:dyDescent="0.25">
      <c r="Y494" s="9">
        <v>4</v>
      </c>
      <c r="Z494" s="9" t="s">
        <v>805</v>
      </c>
      <c r="AA494" s="9" t="s">
        <v>485</v>
      </c>
      <c r="AB494" s="9" t="s">
        <v>802</v>
      </c>
      <c r="AC494" s="9" t="s">
        <v>802</v>
      </c>
      <c r="AF494" s="9" t="s">
        <v>19</v>
      </c>
      <c r="AG494" s="9">
        <v>1</v>
      </c>
    </row>
    <row r="495" spans="25:33" x14ac:dyDescent="0.25">
      <c r="Y495" s="10">
        <v>5</v>
      </c>
      <c r="Z495" s="10" t="s">
        <v>806</v>
      </c>
      <c r="AA495" s="10" t="s">
        <v>485</v>
      </c>
      <c r="AB495" s="10" t="s">
        <v>804</v>
      </c>
      <c r="AC495" s="10" t="s">
        <v>804</v>
      </c>
      <c r="AD495" s="10" t="s">
        <v>45</v>
      </c>
      <c r="AE495" s="10">
        <v>6.8727800000000006E-2</v>
      </c>
      <c r="AF495" s="10" t="s">
        <v>19</v>
      </c>
      <c r="AG495" s="10">
        <v>1</v>
      </c>
    </row>
    <row r="496" spans="25:33" x14ac:dyDescent="0.25">
      <c r="Y496" s="10">
        <v>5</v>
      </c>
      <c r="Z496" s="10" t="s">
        <v>49</v>
      </c>
      <c r="AA496" s="10" t="s">
        <v>25</v>
      </c>
      <c r="AB496" s="10" t="s">
        <v>50</v>
      </c>
      <c r="AC496" s="10" t="s">
        <v>50</v>
      </c>
      <c r="AD496" s="10" t="s">
        <v>27</v>
      </c>
      <c r="AE496" s="10"/>
      <c r="AF496" s="10"/>
      <c r="AG496" s="10">
        <v>10</v>
      </c>
    </row>
    <row r="497" spans="25:33" x14ac:dyDescent="0.25">
      <c r="Y497" s="9">
        <v>4</v>
      </c>
      <c r="Z497" s="9" t="s">
        <v>807</v>
      </c>
      <c r="AA497" s="9" t="s">
        <v>485</v>
      </c>
      <c r="AB497" s="9" t="s">
        <v>802</v>
      </c>
      <c r="AC497" s="9" t="s">
        <v>802</v>
      </c>
      <c r="AF497" s="9" t="s">
        <v>19</v>
      </c>
      <c r="AG497" s="9">
        <v>1</v>
      </c>
    </row>
    <row r="498" spans="25:33" x14ac:dyDescent="0.25">
      <c r="Y498" s="10">
        <v>5</v>
      </c>
      <c r="Z498" s="10" t="s">
        <v>808</v>
      </c>
      <c r="AA498" s="10" t="s">
        <v>485</v>
      </c>
      <c r="AB498" s="10" t="s">
        <v>804</v>
      </c>
      <c r="AC498" s="10" t="s">
        <v>804</v>
      </c>
      <c r="AD498" s="10" t="s">
        <v>45</v>
      </c>
      <c r="AE498" s="10">
        <v>8.8995099999999994E-2</v>
      </c>
      <c r="AF498" s="10" t="s">
        <v>19</v>
      </c>
      <c r="AG498" s="10">
        <v>1</v>
      </c>
    </row>
    <row r="499" spans="25:33" x14ac:dyDescent="0.25">
      <c r="Y499" s="10">
        <v>5</v>
      </c>
      <c r="Z499" s="10" t="s">
        <v>809</v>
      </c>
      <c r="AA499" s="10" t="s">
        <v>25</v>
      </c>
      <c r="AB499" s="10"/>
      <c r="AC499" s="10" t="s">
        <v>810</v>
      </c>
      <c r="AD499" s="10" t="s">
        <v>27</v>
      </c>
      <c r="AE499" s="10"/>
      <c r="AF499" s="10"/>
      <c r="AG499" s="10">
        <v>4</v>
      </c>
    </row>
    <row r="500" spans="25:33" x14ac:dyDescent="0.25">
      <c r="Y500" s="10">
        <v>5</v>
      </c>
      <c r="Z500" s="10" t="s">
        <v>49</v>
      </c>
      <c r="AA500" s="10" t="s">
        <v>25</v>
      </c>
      <c r="AB500" s="10" t="s">
        <v>50</v>
      </c>
      <c r="AC500" s="10" t="s">
        <v>50</v>
      </c>
      <c r="AD500" s="10" t="s">
        <v>27</v>
      </c>
      <c r="AE500" s="10"/>
      <c r="AF500" s="10"/>
      <c r="AG500" s="10">
        <v>14</v>
      </c>
    </row>
    <row r="501" spans="25:33" x14ac:dyDescent="0.25">
      <c r="Y501" s="9">
        <v>4</v>
      </c>
      <c r="Z501" s="9" t="s">
        <v>811</v>
      </c>
      <c r="AA501" s="9" t="s">
        <v>485</v>
      </c>
      <c r="AB501" s="9" t="s">
        <v>802</v>
      </c>
      <c r="AC501" s="9" t="s">
        <v>802</v>
      </c>
      <c r="AF501" s="9" t="s">
        <v>19</v>
      </c>
      <c r="AG501" s="9">
        <v>1</v>
      </c>
    </row>
    <row r="502" spans="25:33" x14ac:dyDescent="0.25">
      <c r="Y502" s="10">
        <v>5</v>
      </c>
      <c r="Z502" s="10" t="s">
        <v>812</v>
      </c>
      <c r="AA502" s="10" t="s">
        <v>485</v>
      </c>
      <c r="AB502" s="10" t="s">
        <v>804</v>
      </c>
      <c r="AC502" s="10" t="s">
        <v>804</v>
      </c>
      <c r="AD502" s="10" t="s">
        <v>45</v>
      </c>
      <c r="AE502" s="10">
        <v>1.4823599999999999E-2</v>
      </c>
      <c r="AF502" s="10" t="s">
        <v>19</v>
      </c>
      <c r="AG502" s="10">
        <v>1</v>
      </c>
    </row>
    <row r="503" spans="25:33" x14ac:dyDescent="0.25">
      <c r="Y503" s="10">
        <v>5</v>
      </c>
      <c r="Z503" s="10" t="s">
        <v>49</v>
      </c>
      <c r="AA503" s="10" t="s">
        <v>25</v>
      </c>
      <c r="AB503" s="10" t="s">
        <v>50</v>
      </c>
      <c r="AC503" s="10" t="s">
        <v>50</v>
      </c>
      <c r="AD503" s="10" t="s">
        <v>27</v>
      </c>
      <c r="AE503" s="10"/>
      <c r="AF503" s="10"/>
      <c r="AG503" s="10">
        <v>6</v>
      </c>
    </row>
    <row r="504" spans="25:33" x14ac:dyDescent="0.25">
      <c r="Y504" s="9">
        <v>4</v>
      </c>
      <c r="Z504" s="9" t="s">
        <v>813</v>
      </c>
      <c r="AA504" s="9" t="s">
        <v>78</v>
      </c>
      <c r="AB504" s="9" t="s">
        <v>133</v>
      </c>
      <c r="AC504" s="9" t="s">
        <v>133</v>
      </c>
      <c r="AF504" s="9" t="s">
        <v>19</v>
      </c>
      <c r="AG504" s="9">
        <v>1</v>
      </c>
    </row>
    <row r="505" spans="25:33" x14ac:dyDescent="0.25">
      <c r="Y505" s="10">
        <v>5</v>
      </c>
      <c r="Z505" s="10" t="s">
        <v>814</v>
      </c>
      <c r="AA505" s="10" t="s">
        <v>78</v>
      </c>
      <c r="AB505" s="10" t="s">
        <v>815</v>
      </c>
      <c r="AC505" s="10" t="s">
        <v>22</v>
      </c>
      <c r="AD505" s="10" t="s">
        <v>80</v>
      </c>
      <c r="AE505" s="10">
        <v>0.583592</v>
      </c>
      <c r="AF505" s="10" t="s">
        <v>19</v>
      </c>
      <c r="AG505" s="10">
        <v>1</v>
      </c>
    </row>
    <row r="506" spans="25:33" x14ac:dyDescent="0.25">
      <c r="Y506" s="10">
        <v>5</v>
      </c>
      <c r="Z506" s="10" t="s">
        <v>37</v>
      </c>
      <c r="AA506" s="10" t="s">
        <v>25</v>
      </c>
      <c r="AB506" s="10" t="s">
        <v>38</v>
      </c>
      <c r="AC506" s="10" t="s">
        <v>38</v>
      </c>
      <c r="AD506" s="10" t="s">
        <v>27</v>
      </c>
      <c r="AE506" s="10">
        <v>1.3392499999999999E-3</v>
      </c>
      <c r="AF506" s="10"/>
      <c r="AG506" s="10">
        <v>4</v>
      </c>
    </row>
    <row r="507" spans="25:33" x14ac:dyDescent="0.25">
      <c r="Y507" s="10">
        <v>5</v>
      </c>
      <c r="Z507" s="10" t="s">
        <v>84</v>
      </c>
      <c r="AA507" s="10" t="s">
        <v>25</v>
      </c>
      <c r="AB507" s="10" t="s">
        <v>50</v>
      </c>
      <c r="AC507" s="10" t="s">
        <v>50</v>
      </c>
      <c r="AD507" s="10" t="s">
        <v>27</v>
      </c>
      <c r="AE507" s="10"/>
      <c r="AF507" s="10"/>
      <c r="AG507" s="10">
        <v>10</v>
      </c>
    </row>
    <row r="508" spans="25:33" x14ac:dyDescent="0.25">
      <c r="Y508" s="9">
        <v>4</v>
      </c>
      <c r="Z508" s="9" t="s">
        <v>816</v>
      </c>
      <c r="AA508" s="9" t="s">
        <v>227</v>
      </c>
      <c r="AB508" s="9" t="s">
        <v>244</v>
      </c>
      <c r="AC508" s="9" t="s">
        <v>244</v>
      </c>
      <c r="AD508" s="9" t="s">
        <v>101</v>
      </c>
      <c r="AE508" s="9">
        <v>0.14205899999999999</v>
      </c>
      <c r="AF508" s="9" t="s">
        <v>102</v>
      </c>
      <c r="AG508" s="9">
        <v>1</v>
      </c>
    </row>
    <row r="509" spans="25:33" x14ac:dyDescent="0.25">
      <c r="Y509" s="9">
        <v>4</v>
      </c>
      <c r="Z509" s="9" t="s">
        <v>817</v>
      </c>
      <c r="AA509" s="9" t="s">
        <v>227</v>
      </c>
      <c r="AB509" s="9" t="s">
        <v>244</v>
      </c>
      <c r="AC509" s="9" t="s">
        <v>244</v>
      </c>
      <c r="AD509" s="9" t="s">
        <v>101</v>
      </c>
      <c r="AE509" s="9">
        <v>0.195747</v>
      </c>
      <c r="AF509" s="9" t="s">
        <v>102</v>
      </c>
      <c r="AG509" s="9">
        <v>1</v>
      </c>
    </row>
    <row r="510" spans="25:33" x14ac:dyDescent="0.25">
      <c r="Y510" s="9">
        <v>4</v>
      </c>
      <c r="Z510" s="9" t="s">
        <v>818</v>
      </c>
      <c r="AA510" s="9" t="s">
        <v>227</v>
      </c>
      <c r="AB510" s="9" t="s">
        <v>111</v>
      </c>
      <c r="AC510" s="9" t="s">
        <v>111</v>
      </c>
      <c r="AD510" s="9" t="s">
        <v>101</v>
      </c>
      <c r="AE510" s="9">
        <v>0.20991499999999999</v>
      </c>
      <c r="AF510" s="9" t="s">
        <v>102</v>
      </c>
      <c r="AG510" s="9">
        <v>1</v>
      </c>
    </row>
    <row r="511" spans="25:33" x14ac:dyDescent="0.25">
      <c r="Y511" s="9">
        <v>4</v>
      </c>
      <c r="Z511" s="9" t="s">
        <v>819</v>
      </c>
      <c r="AA511" s="9" t="s">
        <v>820</v>
      </c>
      <c r="AB511" s="9" t="s">
        <v>821</v>
      </c>
      <c r="AC511" s="9" t="s">
        <v>31</v>
      </c>
      <c r="AF511" s="9" t="s">
        <v>19</v>
      </c>
      <c r="AG511" s="9">
        <v>1</v>
      </c>
    </row>
    <row r="512" spans="25:33" x14ac:dyDescent="0.25">
      <c r="Y512" s="10">
        <v>5</v>
      </c>
      <c r="Z512" s="10" t="s">
        <v>822</v>
      </c>
      <c r="AA512" s="10" t="s">
        <v>820</v>
      </c>
      <c r="AB512" s="10" t="s">
        <v>823</v>
      </c>
      <c r="AC512" s="10" t="s">
        <v>824</v>
      </c>
      <c r="AD512" s="10" t="s">
        <v>45</v>
      </c>
      <c r="AE512" s="10">
        <v>0.1454</v>
      </c>
      <c r="AF512" s="10" t="s">
        <v>19</v>
      </c>
      <c r="AG512" s="10">
        <v>1</v>
      </c>
    </row>
    <row r="513" spans="25:33" x14ac:dyDescent="0.25">
      <c r="Y513" s="10">
        <v>5</v>
      </c>
      <c r="Z513" s="10" t="s">
        <v>51</v>
      </c>
      <c r="AA513" s="10" t="s">
        <v>25</v>
      </c>
      <c r="AB513" s="10" t="s">
        <v>52</v>
      </c>
      <c r="AC513" s="10" t="s">
        <v>52</v>
      </c>
      <c r="AD513" s="10" t="s">
        <v>27</v>
      </c>
      <c r="AE513" s="10"/>
      <c r="AF513" s="10"/>
      <c r="AG513" s="10">
        <v>4</v>
      </c>
    </row>
    <row r="514" spans="25:33" x14ac:dyDescent="0.25">
      <c r="Y514" s="10">
        <v>5</v>
      </c>
      <c r="Z514" s="10" t="s">
        <v>90</v>
      </c>
      <c r="AA514" s="10" t="s">
        <v>25</v>
      </c>
      <c r="AB514" s="10"/>
      <c r="AC514" s="10" t="s">
        <v>91</v>
      </c>
      <c r="AD514" s="10" t="s">
        <v>27</v>
      </c>
      <c r="AE514" s="10"/>
      <c r="AF514" s="10"/>
      <c r="AG514" s="10">
        <v>6</v>
      </c>
    </row>
    <row r="515" spans="25:33" x14ac:dyDescent="0.25">
      <c r="Y515" s="10">
        <v>5</v>
      </c>
      <c r="Z515" s="10" t="s">
        <v>49</v>
      </c>
      <c r="AA515" s="10" t="s">
        <v>25</v>
      </c>
      <c r="AB515" s="10" t="s">
        <v>50</v>
      </c>
      <c r="AC515" s="10" t="s">
        <v>50</v>
      </c>
      <c r="AD515" s="10" t="s">
        <v>27</v>
      </c>
      <c r="AE515" s="10"/>
      <c r="AF515" s="10"/>
      <c r="AG515" s="10">
        <v>50</v>
      </c>
    </row>
    <row r="516" spans="25:33" x14ac:dyDescent="0.25">
      <c r="Y516" s="9">
        <v>4</v>
      </c>
      <c r="Z516" s="9" t="s">
        <v>825</v>
      </c>
      <c r="AA516" s="9" t="s">
        <v>17</v>
      </c>
      <c r="AB516" s="9" t="s">
        <v>826</v>
      </c>
      <c r="AC516" s="9" t="s">
        <v>827</v>
      </c>
      <c r="AF516" s="9"/>
      <c r="AG516" s="9">
        <v>1</v>
      </c>
    </row>
    <row r="517" spans="25:33" x14ac:dyDescent="0.25">
      <c r="Y517" s="10">
        <v>5</v>
      </c>
      <c r="Z517" s="10" t="s">
        <v>828</v>
      </c>
      <c r="AA517" s="10" t="s">
        <v>17</v>
      </c>
      <c r="AB517" s="10" t="s">
        <v>829</v>
      </c>
      <c r="AC517" s="10" t="s">
        <v>22</v>
      </c>
      <c r="AD517" s="10"/>
      <c r="AE517" s="10">
        <v>12.625400000000001</v>
      </c>
      <c r="AF517" s="10"/>
      <c r="AG517" s="10">
        <v>1</v>
      </c>
    </row>
    <row r="518" spans="25:33" x14ac:dyDescent="0.25">
      <c r="Y518" s="10">
        <v>5</v>
      </c>
      <c r="Z518" s="10" t="s">
        <v>118</v>
      </c>
      <c r="AA518" s="10" t="s">
        <v>25</v>
      </c>
      <c r="AB518" s="10" t="s">
        <v>76</v>
      </c>
      <c r="AC518" s="10" t="s">
        <v>76</v>
      </c>
      <c r="AD518" s="10" t="s">
        <v>27</v>
      </c>
      <c r="AE518" s="10"/>
      <c r="AF518" s="10"/>
      <c r="AG518" s="10">
        <v>2</v>
      </c>
    </row>
    <row r="519" spans="25:33" x14ac:dyDescent="0.25">
      <c r="Y519" s="10">
        <v>5</v>
      </c>
      <c r="Z519" s="10" t="s">
        <v>116</v>
      </c>
      <c r="AA519" s="10" t="s">
        <v>25</v>
      </c>
      <c r="AB519" s="10"/>
      <c r="AC519" s="10" t="s">
        <v>117</v>
      </c>
      <c r="AD519" s="10" t="s">
        <v>27</v>
      </c>
      <c r="AE519" s="10"/>
      <c r="AF519" s="10"/>
      <c r="AG519" s="10">
        <v>6</v>
      </c>
    </row>
    <row r="520" spans="25:33" x14ac:dyDescent="0.25">
      <c r="Y520" s="10">
        <v>5</v>
      </c>
      <c r="Z520" s="10" t="s">
        <v>830</v>
      </c>
      <c r="AA520" s="10" t="s">
        <v>25</v>
      </c>
      <c r="AB520" s="10" t="s">
        <v>52</v>
      </c>
      <c r="AC520" s="10" t="s">
        <v>52</v>
      </c>
      <c r="AD520" s="10" t="s">
        <v>27</v>
      </c>
      <c r="AE520" s="10"/>
      <c r="AF520" s="10"/>
      <c r="AG520" s="10">
        <v>7</v>
      </c>
    </row>
    <row r="521" spans="25:33" x14ac:dyDescent="0.25">
      <c r="Y521" s="10">
        <v>5</v>
      </c>
      <c r="Z521" s="10" t="s">
        <v>119</v>
      </c>
      <c r="AA521" s="10" t="s">
        <v>25</v>
      </c>
      <c r="AB521" s="10" t="s">
        <v>50</v>
      </c>
      <c r="AC521" s="10" t="s">
        <v>50</v>
      </c>
      <c r="AD521" s="10" t="s">
        <v>27</v>
      </c>
      <c r="AE521" s="10"/>
      <c r="AF521" s="10"/>
      <c r="AG521" s="10">
        <v>52</v>
      </c>
    </row>
    <row r="522" spans="25:33" x14ac:dyDescent="0.25">
      <c r="Y522" s="9">
        <v>4</v>
      </c>
      <c r="Z522" s="9" t="s">
        <v>831</v>
      </c>
      <c r="AA522" s="9" t="s">
        <v>40</v>
      </c>
      <c r="AB522" s="9" t="s">
        <v>832</v>
      </c>
      <c r="AC522" s="9" t="s">
        <v>833</v>
      </c>
      <c r="AF522" s="9" t="s">
        <v>19</v>
      </c>
      <c r="AG522" s="9">
        <v>1</v>
      </c>
    </row>
    <row r="523" spans="25:33" x14ac:dyDescent="0.25">
      <c r="Y523" s="10">
        <v>5</v>
      </c>
      <c r="Z523" s="10" t="s">
        <v>834</v>
      </c>
      <c r="AA523" s="10" t="s">
        <v>40</v>
      </c>
      <c r="AB523" s="10" t="s">
        <v>835</v>
      </c>
      <c r="AC523" s="10" t="s">
        <v>355</v>
      </c>
      <c r="AD523" s="10" t="s">
        <v>114</v>
      </c>
      <c r="AE523" s="10">
        <v>1.9977100000000001</v>
      </c>
      <c r="AF523" s="10" t="s">
        <v>19</v>
      </c>
      <c r="AG523" s="10">
        <v>1</v>
      </c>
    </row>
    <row r="524" spans="25:33" x14ac:dyDescent="0.25">
      <c r="Y524" s="10">
        <v>5</v>
      </c>
      <c r="Z524" s="10" t="s">
        <v>115</v>
      </c>
      <c r="AA524" s="10" t="s">
        <v>25</v>
      </c>
      <c r="AB524" s="10"/>
      <c r="AC524" s="10" t="s">
        <v>36</v>
      </c>
      <c r="AD524" s="10" t="s">
        <v>27</v>
      </c>
      <c r="AE524" s="10"/>
      <c r="AF524" s="10"/>
      <c r="AG524" s="10">
        <v>4</v>
      </c>
    </row>
    <row r="525" spans="25:33" x14ac:dyDescent="0.25">
      <c r="Y525" s="10">
        <v>5</v>
      </c>
      <c r="Z525" s="10" t="s">
        <v>836</v>
      </c>
      <c r="AA525" s="10" t="s">
        <v>25</v>
      </c>
      <c r="AB525" s="10" t="s">
        <v>57</v>
      </c>
      <c r="AC525" s="10" t="s">
        <v>57</v>
      </c>
      <c r="AD525" s="10" t="s">
        <v>27</v>
      </c>
      <c r="AE525" s="10"/>
      <c r="AF525" s="10"/>
      <c r="AG525" s="10">
        <v>6</v>
      </c>
    </row>
    <row r="526" spans="25:33" x14ac:dyDescent="0.25">
      <c r="Y526" s="10">
        <v>5</v>
      </c>
      <c r="Z526" s="10" t="s">
        <v>116</v>
      </c>
      <c r="AA526" s="10" t="s">
        <v>25</v>
      </c>
      <c r="AB526" s="10"/>
      <c r="AC526" s="10" t="s">
        <v>117</v>
      </c>
      <c r="AD526" s="10" t="s">
        <v>27</v>
      </c>
      <c r="AE526" s="10"/>
      <c r="AF526" s="10"/>
      <c r="AG526" s="10">
        <v>8</v>
      </c>
    </row>
    <row r="527" spans="25:33" x14ac:dyDescent="0.25">
      <c r="Y527" s="10">
        <v>5</v>
      </c>
      <c r="Z527" s="10" t="s">
        <v>837</v>
      </c>
      <c r="AA527" s="10" t="s">
        <v>25</v>
      </c>
      <c r="AB527" s="10"/>
      <c r="AC527" s="10" t="s">
        <v>91</v>
      </c>
      <c r="AD527" s="10" t="s">
        <v>27</v>
      </c>
      <c r="AE527" s="10"/>
      <c r="AF527" s="10"/>
      <c r="AG527" s="10">
        <v>8</v>
      </c>
    </row>
    <row r="528" spans="25:33" x14ac:dyDescent="0.25">
      <c r="Y528" s="10">
        <v>5</v>
      </c>
      <c r="Z528" s="10" t="s">
        <v>830</v>
      </c>
      <c r="AA528" s="10" t="s">
        <v>25</v>
      </c>
      <c r="AB528" s="10" t="s">
        <v>52</v>
      </c>
      <c r="AC528" s="10" t="s">
        <v>52</v>
      </c>
      <c r="AD528" s="10" t="s">
        <v>27</v>
      </c>
      <c r="AE528" s="10"/>
      <c r="AF528" s="10"/>
      <c r="AG528" s="10">
        <v>13</v>
      </c>
    </row>
    <row r="529" spans="25:33" x14ac:dyDescent="0.25">
      <c r="Y529" s="10">
        <v>5</v>
      </c>
      <c r="Z529" s="10" t="s">
        <v>119</v>
      </c>
      <c r="AA529" s="10" t="s">
        <v>25</v>
      </c>
      <c r="AB529" s="10" t="s">
        <v>50</v>
      </c>
      <c r="AC529" s="10" t="s">
        <v>50</v>
      </c>
      <c r="AD529" s="10" t="s">
        <v>27</v>
      </c>
      <c r="AE529" s="10"/>
      <c r="AF529" s="10"/>
      <c r="AG529" s="10">
        <v>49</v>
      </c>
    </row>
    <row r="530" spans="25:33" x14ac:dyDescent="0.25">
      <c r="Y530" s="9">
        <v>4</v>
      </c>
      <c r="Z530" s="9" t="s">
        <v>838</v>
      </c>
      <c r="AA530" s="9" t="s">
        <v>78</v>
      </c>
      <c r="AB530" s="9" t="s">
        <v>31</v>
      </c>
      <c r="AC530" s="9" t="s">
        <v>31</v>
      </c>
      <c r="AF530" s="9"/>
      <c r="AG530" s="9">
        <v>1</v>
      </c>
    </row>
    <row r="531" spans="25:33" x14ac:dyDescent="0.25">
      <c r="Y531" s="10">
        <v>5</v>
      </c>
      <c r="Z531" s="10" t="s">
        <v>839</v>
      </c>
      <c r="AA531" s="10" t="s">
        <v>78</v>
      </c>
      <c r="AB531" s="10" t="s">
        <v>22</v>
      </c>
      <c r="AC531" s="10" t="s">
        <v>22</v>
      </c>
      <c r="AD531" s="10" t="s">
        <v>45</v>
      </c>
      <c r="AE531" s="10">
        <v>3.5486900000000002E-2</v>
      </c>
      <c r="AF531" s="10"/>
      <c r="AG531" s="10">
        <v>1</v>
      </c>
    </row>
    <row r="532" spans="25:33" x14ac:dyDescent="0.25">
      <c r="Y532" s="10">
        <v>5</v>
      </c>
      <c r="Z532" s="10" t="s">
        <v>49</v>
      </c>
      <c r="AA532" s="10" t="s">
        <v>25</v>
      </c>
      <c r="AB532" s="10" t="s">
        <v>50</v>
      </c>
      <c r="AC532" s="10" t="s">
        <v>50</v>
      </c>
      <c r="AD532" s="10" t="s">
        <v>27</v>
      </c>
      <c r="AE532" s="10"/>
      <c r="AF532" s="10"/>
      <c r="AG532" s="10">
        <v>24</v>
      </c>
    </row>
    <row r="533" spans="25:33" x14ac:dyDescent="0.25">
      <c r="Y533" s="9">
        <v>4</v>
      </c>
      <c r="Z533" s="9" t="s">
        <v>840</v>
      </c>
      <c r="AA533" s="9" t="s">
        <v>841</v>
      </c>
      <c r="AB533" s="9" t="s">
        <v>842</v>
      </c>
      <c r="AC533" s="9" t="s">
        <v>843</v>
      </c>
      <c r="AF533" s="9" t="s">
        <v>19</v>
      </c>
      <c r="AG533" s="9">
        <v>1</v>
      </c>
    </row>
    <row r="534" spans="25:33" x14ac:dyDescent="0.25">
      <c r="Y534" s="10">
        <v>5</v>
      </c>
      <c r="Z534" s="10" t="s">
        <v>56</v>
      </c>
      <c r="AA534" s="10" t="s">
        <v>25</v>
      </c>
      <c r="AB534" s="10" t="s">
        <v>57</v>
      </c>
      <c r="AC534" s="10" t="s">
        <v>57</v>
      </c>
      <c r="AD534" s="10" t="s">
        <v>27</v>
      </c>
      <c r="AE534" s="10"/>
      <c r="AF534" s="10"/>
      <c r="AG534" s="10">
        <v>1</v>
      </c>
    </row>
    <row r="535" spans="25:33" x14ac:dyDescent="0.25">
      <c r="Y535" s="10">
        <v>5</v>
      </c>
      <c r="Z535" s="10" t="s">
        <v>844</v>
      </c>
      <c r="AA535" s="10" t="s">
        <v>841</v>
      </c>
      <c r="AB535" s="10" t="s">
        <v>22</v>
      </c>
      <c r="AC535" s="10" t="s">
        <v>22</v>
      </c>
      <c r="AD535" s="10" t="s">
        <v>45</v>
      </c>
      <c r="AE535" s="10">
        <v>9.0842099999999995E-2</v>
      </c>
      <c r="AF535" s="10" t="s">
        <v>19</v>
      </c>
      <c r="AG535" s="10">
        <v>1</v>
      </c>
    </row>
    <row r="536" spans="25:33" x14ac:dyDescent="0.25">
      <c r="Y536" s="10">
        <v>5</v>
      </c>
      <c r="Z536" s="10" t="s">
        <v>48</v>
      </c>
      <c r="AA536" s="10" t="s">
        <v>25</v>
      </c>
      <c r="AB536" s="10"/>
      <c r="AC536" s="10" t="s">
        <v>36</v>
      </c>
      <c r="AD536" s="10" t="s">
        <v>27</v>
      </c>
      <c r="AE536" s="10">
        <v>6.0409799999999996E-3</v>
      </c>
      <c r="AF536" s="10"/>
      <c r="AG536" s="10">
        <v>12</v>
      </c>
    </row>
    <row r="537" spans="25:33" x14ac:dyDescent="0.25">
      <c r="Y537" s="10">
        <v>5</v>
      </c>
      <c r="Z537" s="10" t="s">
        <v>49</v>
      </c>
      <c r="AA537" s="10" t="s">
        <v>25</v>
      </c>
      <c r="AB537" s="10" t="s">
        <v>50</v>
      </c>
      <c r="AC537" s="10" t="s">
        <v>50</v>
      </c>
      <c r="AD537" s="10" t="s">
        <v>27</v>
      </c>
      <c r="AE537" s="10"/>
      <c r="AF537" s="10"/>
      <c r="AG537" s="10">
        <v>14</v>
      </c>
    </row>
    <row r="538" spans="25:33" x14ac:dyDescent="0.25">
      <c r="Y538" s="9">
        <v>4</v>
      </c>
      <c r="Z538" s="9" t="s">
        <v>845</v>
      </c>
      <c r="AA538" s="9" t="s">
        <v>841</v>
      </c>
      <c r="AB538" s="9" t="s">
        <v>846</v>
      </c>
      <c r="AC538" s="9" t="s">
        <v>843</v>
      </c>
      <c r="AF538" s="9" t="s">
        <v>19</v>
      </c>
      <c r="AG538" s="9">
        <v>1</v>
      </c>
    </row>
    <row r="539" spans="25:33" x14ac:dyDescent="0.25">
      <c r="Y539" s="10">
        <v>5</v>
      </c>
      <c r="Z539" s="10" t="s">
        <v>56</v>
      </c>
      <c r="AA539" s="10" t="s">
        <v>25</v>
      </c>
      <c r="AB539" s="10" t="s">
        <v>57</v>
      </c>
      <c r="AC539" s="10" t="s">
        <v>57</v>
      </c>
      <c r="AD539" s="10" t="s">
        <v>27</v>
      </c>
      <c r="AE539" s="10"/>
      <c r="AF539" s="10"/>
      <c r="AG539" s="10">
        <v>1</v>
      </c>
    </row>
    <row r="540" spans="25:33" x14ac:dyDescent="0.25">
      <c r="Y540" s="10">
        <v>5</v>
      </c>
      <c r="Z540" s="10" t="s">
        <v>847</v>
      </c>
      <c r="AA540" s="10" t="s">
        <v>841</v>
      </c>
      <c r="AB540" s="10" t="s">
        <v>22</v>
      </c>
      <c r="AC540" s="10" t="s">
        <v>22</v>
      </c>
      <c r="AD540" s="10" t="s">
        <v>45</v>
      </c>
      <c r="AE540" s="10">
        <v>8.8359199999999999E-2</v>
      </c>
      <c r="AF540" s="10" t="s">
        <v>19</v>
      </c>
      <c r="AG540" s="10">
        <v>1</v>
      </c>
    </row>
    <row r="541" spans="25:33" x14ac:dyDescent="0.25">
      <c r="Y541" s="10">
        <v>5</v>
      </c>
      <c r="Z541" s="10" t="s">
        <v>49</v>
      </c>
      <c r="AA541" s="10" t="s">
        <v>25</v>
      </c>
      <c r="AB541" s="10" t="s">
        <v>50</v>
      </c>
      <c r="AC541" s="10" t="s">
        <v>50</v>
      </c>
      <c r="AD541" s="10" t="s">
        <v>27</v>
      </c>
      <c r="AE541" s="10"/>
      <c r="AF541" s="10"/>
      <c r="AG541" s="10">
        <v>8</v>
      </c>
    </row>
    <row r="542" spans="25:33" x14ac:dyDescent="0.25">
      <c r="Y542" s="10">
        <v>5</v>
      </c>
      <c r="Z542" s="10" t="s">
        <v>48</v>
      </c>
      <c r="AA542" s="10" t="s">
        <v>25</v>
      </c>
      <c r="AB542" s="10"/>
      <c r="AC542" s="10" t="s">
        <v>36</v>
      </c>
      <c r="AD542" s="10" t="s">
        <v>27</v>
      </c>
      <c r="AE542" s="10">
        <v>6.0409799999999996E-3</v>
      </c>
      <c r="AF542" s="10"/>
      <c r="AG542" s="10">
        <v>18</v>
      </c>
    </row>
    <row r="543" spans="25:33" x14ac:dyDescent="0.25">
      <c r="Y543" s="9">
        <v>4</v>
      </c>
      <c r="Z543" s="9" t="s">
        <v>848</v>
      </c>
      <c r="AA543" s="9" t="s">
        <v>29</v>
      </c>
      <c r="AB543" s="9" t="s">
        <v>849</v>
      </c>
      <c r="AC543" s="9" t="s">
        <v>849</v>
      </c>
      <c r="AD543" s="9" t="s">
        <v>101</v>
      </c>
      <c r="AE543" s="9">
        <v>0.12261</v>
      </c>
      <c r="AF543" s="9"/>
      <c r="AG543" s="9">
        <v>1</v>
      </c>
    </row>
    <row r="544" spans="25:33" x14ac:dyDescent="0.25">
      <c r="Y544" s="9">
        <v>4</v>
      </c>
      <c r="Z544" s="9" t="s">
        <v>850</v>
      </c>
      <c r="AA544" s="9" t="s">
        <v>70</v>
      </c>
      <c r="AB544" s="9" t="s">
        <v>851</v>
      </c>
      <c r="AC544" s="9" t="s">
        <v>851</v>
      </c>
      <c r="AD544" s="9" t="s">
        <v>101</v>
      </c>
      <c r="AE544" s="9">
        <v>0.32822099999999998</v>
      </c>
      <c r="AF544" s="9" t="s">
        <v>852</v>
      </c>
      <c r="AG544" s="9">
        <v>2</v>
      </c>
    </row>
    <row r="545" spans="25:33" x14ac:dyDescent="0.25">
      <c r="Y545" s="9">
        <v>4</v>
      </c>
      <c r="Z545" s="9" t="s">
        <v>853</v>
      </c>
      <c r="AA545" s="9" t="s">
        <v>17</v>
      </c>
      <c r="AB545" s="9" t="s">
        <v>854</v>
      </c>
      <c r="AC545" s="9" t="s">
        <v>854</v>
      </c>
      <c r="AF545" s="9" t="s">
        <v>218</v>
      </c>
      <c r="AG545" s="9">
        <v>2</v>
      </c>
    </row>
    <row r="546" spans="25:33" x14ac:dyDescent="0.25">
      <c r="Y546" s="10">
        <v>5</v>
      </c>
      <c r="Z546" s="10" t="s">
        <v>855</v>
      </c>
      <c r="AA546" s="10" t="s">
        <v>25</v>
      </c>
      <c r="AB546" s="10" t="s">
        <v>789</v>
      </c>
      <c r="AC546" s="10" t="s">
        <v>790</v>
      </c>
      <c r="AD546" s="10" t="s">
        <v>101</v>
      </c>
      <c r="AE546" s="10">
        <v>0.101801</v>
      </c>
      <c r="AF546" s="10"/>
      <c r="AG546" s="10">
        <v>1</v>
      </c>
    </row>
    <row r="547" spans="25:33" ht="30" x14ac:dyDescent="0.25">
      <c r="Y547" s="10">
        <v>5</v>
      </c>
      <c r="Z547" s="10" t="s">
        <v>856</v>
      </c>
      <c r="AA547" s="10" t="s">
        <v>25</v>
      </c>
      <c r="AB547" s="12" t="s">
        <v>857</v>
      </c>
      <c r="AC547" s="10" t="s">
        <v>111</v>
      </c>
      <c r="AD547" s="10" t="s">
        <v>101</v>
      </c>
      <c r="AE547" s="10">
        <v>4.4286499999999999E-2</v>
      </c>
      <c r="AF547" s="10"/>
      <c r="AG547" s="10">
        <v>1</v>
      </c>
    </row>
    <row r="548" spans="25:33" ht="30" x14ac:dyDescent="0.25">
      <c r="Y548" s="10">
        <v>5</v>
      </c>
      <c r="Z548" s="10" t="s">
        <v>794</v>
      </c>
      <c r="AA548" s="10" t="s">
        <v>25</v>
      </c>
      <c r="AB548" s="12" t="s">
        <v>795</v>
      </c>
      <c r="AC548" s="10" t="s">
        <v>793</v>
      </c>
      <c r="AD548" s="10" t="s">
        <v>101</v>
      </c>
      <c r="AE548" s="10">
        <v>2.9291600000000001E-2</v>
      </c>
      <c r="AF548" s="10"/>
      <c r="AG548" s="10">
        <v>1</v>
      </c>
    </row>
    <row r="549" spans="25:33" x14ac:dyDescent="0.25">
      <c r="Y549" s="10">
        <v>5</v>
      </c>
      <c r="Z549" s="10" t="s">
        <v>253</v>
      </c>
      <c r="AA549" s="10" t="s">
        <v>25</v>
      </c>
      <c r="AB549" s="10" t="s">
        <v>254</v>
      </c>
      <c r="AC549" s="10" t="s">
        <v>254</v>
      </c>
      <c r="AD549" s="10" t="s">
        <v>27</v>
      </c>
      <c r="AE549" s="10"/>
      <c r="AF549" s="10"/>
      <c r="AG549" s="10">
        <v>8</v>
      </c>
    </row>
    <row r="550" spans="25:33" x14ac:dyDescent="0.25">
      <c r="Y550" s="10">
        <v>5</v>
      </c>
      <c r="Z550" s="10" t="s">
        <v>796</v>
      </c>
      <c r="AA550" s="10" t="s">
        <v>25</v>
      </c>
      <c r="AB550" s="10"/>
      <c r="AC550" s="10" t="s">
        <v>5</v>
      </c>
      <c r="AD550" s="10" t="s">
        <v>27</v>
      </c>
      <c r="AE550" s="10"/>
      <c r="AF550" s="10"/>
      <c r="AG550" s="10">
        <v>8</v>
      </c>
    </row>
    <row r="551" spans="25:33" x14ac:dyDescent="0.25">
      <c r="Y551" s="9">
        <v>4</v>
      </c>
      <c r="Z551" s="9" t="s">
        <v>858</v>
      </c>
      <c r="AA551" s="9" t="s">
        <v>86</v>
      </c>
      <c r="AB551" s="9" t="s">
        <v>859</v>
      </c>
      <c r="AC551" s="9" t="s">
        <v>859</v>
      </c>
      <c r="AD551" s="9" t="s">
        <v>101</v>
      </c>
      <c r="AE551" s="9">
        <v>5.6528399999999999E-2</v>
      </c>
      <c r="AF551" s="9" t="s">
        <v>102</v>
      </c>
      <c r="AG551" s="9">
        <v>2</v>
      </c>
    </row>
    <row r="552" spans="25:33" x14ac:dyDescent="0.25">
      <c r="Y552" s="9">
        <v>4</v>
      </c>
      <c r="Z552" s="9" t="s">
        <v>11</v>
      </c>
      <c r="AA552" s="9" t="s">
        <v>29</v>
      </c>
      <c r="AB552" s="9"/>
      <c r="AC552" s="9"/>
      <c r="AD552" s="9"/>
      <c r="AE552" s="9">
        <v>3.41225E-2</v>
      </c>
      <c r="AF552" s="9"/>
      <c r="AG552" s="9">
        <v>2</v>
      </c>
    </row>
    <row r="553" spans="25:33" x14ac:dyDescent="0.25">
      <c r="Y553" s="9">
        <v>4</v>
      </c>
      <c r="Z553" s="9" t="s">
        <v>860</v>
      </c>
      <c r="AA553" s="9" t="s">
        <v>86</v>
      </c>
      <c r="AB553" s="9" t="s">
        <v>861</v>
      </c>
      <c r="AC553" s="9" t="s">
        <v>861</v>
      </c>
      <c r="AD553" s="9" t="s">
        <v>101</v>
      </c>
      <c r="AE553" s="9">
        <v>8.3264900000000003E-2</v>
      </c>
      <c r="AF553" s="9" t="s">
        <v>102</v>
      </c>
      <c r="AG553" s="9">
        <v>2</v>
      </c>
    </row>
    <row r="554" spans="25:33" x14ac:dyDescent="0.25">
      <c r="Y554" s="9">
        <v>4</v>
      </c>
      <c r="Z554" s="9" t="s">
        <v>862</v>
      </c>
      <c r="AA554" s="9" t="s">
        <v>35</v>
      </c>
      <c r="AB554" s="9" t="s">
        <v>195</v>
      </c>
      <c r="AC554" s="9" t="s">
        <v>195</v>
      </c>
      <c r="AF554" s="9"/>
      <c r="AG554" s="9">
        <v>3</v>
      </c>
    </row>
    <row r="555" spans="25:33" x14ac:dyDescent="0.25">
      <c r="Y555" s="10">
        <v>5</v>
      </c>
      <c r="Z555" s="10" t="s">
        <v>199</v>
      </c>
      <c r="AA555" s="10" t="s">
        <v>25</v>
      </c>
      <c r="AB555" s="10"/>
      <c r="AC555" s="10" t="s">
        <v>200</v>
      </c>
      <c r="AD555" s="10" t="s">
        <v>27</v>
      </c>
      <c r="AE555" s="10"/>
      <c r="AF555" s="10"/>
      <c r="AG555" s="10">
        <v>2</v>
      </c>
    </row>
    <row r="556" spans="25:33" x14ac:dyDescent="0.25">
      <c r="Y556" s="10">
        <v>5</v>
      </c>
      <c r="Z556" s="10" t="s">
        <v>630</v>
      </c>
      <c r="AA556" s="10" t="s">
        <v>25</v>
      </c>
      <c r="AB556" s="10" t="s">
        <v>631</v>
      </c>
      <c r="AC556" s="10" t="s">
        <v>631</v>
      </c>
      <c r="AD556" s="10" t="s">
        <v>101</v>
      </c>
      <c r="AE556" s="13">
        <v>7.2727799999999998E-5</v>
      </c>
      <c r="AF556" s="10"/>
      <c r="AG556" s="10">
        <v>4</v>
      </c>
    </row>
    <row r="557" spans="25:33" x14ac:dyDescent="0.25">
      <c r="Y557" s="10">
        <v>5</v>
      </c>
      <c r="Z557" s="10" t="s">
        <v>863</v>
      </c>
      <c r="AA557" s="10" t="s">
        <v>35</v>
      </c>
      <c r="AB557" s="10" t="s">
        <v>193</v>
      </c>
      <c r="AC557" s="10" t="s">
        <v>193</v>
      </c>
      <c r="AD557" s="10" t="s">
        <v>101</v>
      </c>
      <c r="AE557" s="10">
        <v>1.4928800000000001E-2</v>
      </c>
      <c r="AF557" s="10"/>
      <c r="AG557" s="10">
        <v>1</v>
      </c>
    </row>
    <row r="558" spans="25:33" x14ac:dyDescent="0.25">
      <c r="Y558" s="9">
        <v>4</v>
      </c>
      <c r="Z558" s="9" t="s">
        <v>864</v>
      </c>
      <c r="AA558" s="9" t="s">
        <v>70</v>
      </c>
      <c r="AB558" s="9" t="s">
        <v>851</v>
      </c>
      <c r="AC558" s="9" t="s">
        <v>851</v>
      </c>
      <c r="AD558" s="9" t="s">
        <v>101</v>
      </c>
      <c r="AE558" s="9">
        <v>4.05253E-2</v>
      </c>
      <c r="AF558" s="9" t="s">
        <v>852</v>
      </c>
      <c r="AG558" s="9">
        <v>4</v>
      </c>
    </row>
    <row r="559" spans="25:33" x14ac:dyDescent="0.25">
      <c r="Y559" s="9">
        <v>4</v>
      </c>
      <c r="Z559" s="9" t="s">
        <v>243</v>
      </c>
      <c r="AA559" s="9" t="s">
        <v>227</v>
      </c>
      <c r="AB559" s="9" t="s">
        <v>244</v>
      </c>
      <c r="AC559" s="9" t="s">
        <v>244</v>
      </c>
      <c r="AD559" s="9" t="s">
        <v>101</v>
      </c>
      <c r="AE559" s="9">
        <v>2.2644399999999999E-2</v>
      </c>
      <c r="AF559" s="9" t="s">
        <v>102</v>
      </c>
      <c r="AG559" s="9">
        <v>4</v>
      </c>
    </row>
    <row r="560" spans="25:33" x14ac:dyDescent="0.25">
      <c r="Y560" s="9">
        <v>4</v>
      </c>
      <c r="Z560" s="9" t="s">
        <v>764</v>
      </c>
      <c r="AA560" s="9" t="s">
        <v>25</v>
      </c>
      <c r="AB560" s="9"/>
      <c r="AC560" s="9" t="s">
        <v>9</v>
      </c>
      <c r="AD560" s="9" t="s">
        <v>27</v>
      </c>
      <c r="AE560" s="9"/>
      <c r="AF560" s="9"/>
      <c r="AG560" s="9">
        <v>4</v>
      </c>
    </row>
    <row r="561" spans="25:33" x14ac:dyDescent="0.25">
      <c r="Y561" s="9">
        <v>4</v>
      </c>
      <c r="Z561" s="9" t="s">
        <v>865</v>
      </c>
      <c r="AA561" s="9" t="s">
        <v>35</v>
      </c>
      <c r="AB561" s="9" t="s">
        <v>866</v>
      </c>
      <c r="AC561" s="9" t="s">
        <v>866</v>
      </c>
      <c r="AD561" s="9" t="s">
        <v>101</v>
      </c>
      <c r="AE561" s="9">
        <v>1.2869E-2</v>
      </c>
      <c r="AF561" s="9"/>
      <c r="AG561" s="9">
        <v>4</v>
      </c>
    </row>
    <row r="562" spans="25:33" x14ac:dyDescent="0.25">
      <c r="Y562" s="9">
        <v>4</v>
      </c>
      <c r="Z562" s="9" t="s">
        <v>867</v>
      </c>
      <c r="AA562" s="9" t="s">
        <v>17</v>
      </c>
      <c r="AB562" s="9" t="s">
        <v>868</v>
      </c>
      <c r="AC562" s="9" t="s">
        <v>868</v>
      </c>
      <c r="AF562" s="9" t="s">
        <v>218</v>
      </c>
      <c r="AG562" s="9">
        <v>5</v>
      </c>
    </row>
    <row r="563" spans="25:33" x14ac:dyDescent="0.25">
      <c r="Y563" s="10">
        <v>5</v>
      </c>
      <c r="Z563" s="10" t="s">
        <v>869</v>
      </c>
      <c r="AA563" s="10" t="s">
        <v>25</v>
      </c>
      <c r="AB563" s="10" t="s">
        <v>789</v>
      </c>
      <c r="AC563" s="10" t="s">
        <v>870</v>
      </c>
      <c r="AD563" s="10" t="s">
        <v>101</v>
      </c>
      <c r="AE563" s="10">
        <v>3.0514800000000002E-2</v>
      </c>
      <c r="AF563" s="10"/>
      <c r="AG563" s="10">
        <v>1</v>
      </c>
    </row>
    <row r="564" spans="25:33" x14ac:dyDescent="0.25">
      <c r="Y564" s="10">
        <v>5</v>
      </c>
      <c r="Z564" s="10" t="s">
        <v>871</v>
      </c>
      <c r="AA564" s="10" t="s">
        <v>35</v>
      </c>
      <c r="AB564" s="10" t="s">
        <v>872</v>
      </c>
      <c r="AC564" s="10" t="s">
        <v>873</v>
      </c>
      <c r="AF564" s="10" t="s">
        <v>218</v>
      </c>
      <c r="AG564" s="10">
        <v>1</v>
      </c>
    </row>
    <row r="565" spans="25:33" x14ac:dyDescent="0.25">
      <c r="Y565" s="9">
        <v>6</v>
      </c>
      <c r="Z565" s="9" t="s">
        <v>874</v>
      </c>
      <c r="AA565" s="9" t="s">
        <v>25</v>
      </c>
      <c r="AB565" s="9"/>
      <c r="AC565" s="9" t="s">
        <v>875</v>
      </c>
      <c r="AD565" s="9" t="s">
        <v>876</v>
      </c>
      <c r="AE565" s="9">
        <v>3.2533600000000003E-2</v>
      </c>
      <c r="AF565" s="9"/>
      <c r="AG565" s="9">
        <v>1</v>
      </c>
    </row>
    <row r="566" spans="25:33" x14ac:dyDescent="0.25">
      <c r="Y566" s="9">
        <v>6</v>
      </c>
      <c r="Z566" s="9" t="s">
        <v>877</v>
      </c>
      <c r="AA566" s="9" t="s">
        <v>25</v>
      </c>
      <c r="AB566" s="9" t="s">
        <v>789</v>
      </c>
      <c r="AC566" s="9" t="s">
        <v>878</v>
      </c>
      <c r="AD566" s="9" t="s">
        <v>101</v>
      </c>
      <c r="AE566" s="9">
        <v>0.12914700000000001</v>
      </c>
      <c r="AF566" s="9"/>
      <c r="AG566" s="9">
        <v>1</v>
      </c>
    </row>
    <row r="567" spans="25:33" x14ac:dyDescent="0.25">
      <c r="Y567" s="10">
        <v>5</v>
      </c>
      <c r="Z567" s="10" t="s">
        <v>879</v>
      </c>
      <c r="AA567" s="10" t="s">
        <v>40</v>
      </c>
      <c r="AB567" s="10" t="s">
        <v>880</v>
      </c>
      <c r="AC567" s="10" t="s">
        <v>880</v>
      </c>
      <c r="AD567" s="10"/>
      <c r="AE567" s="10">
        <v>1.11947</v>
      </c>
      <c r="AF567" s="10" t="s">
        <v>19</v>
      </c>
      <c r="AG567" s="10">
        <v>1</v>
      </c>
    </row>
    <row r="568" spans="25:33" x14ac:dyDescent="0.25">
      <c r="Y568" s="10">
        <v>5</v>
      </c>
      <c r="Z568" s="10" t="s">
        <v>881</v>
      </c>
      <c r="AA568" s="10" t="s">
        <v>25</v>
      </c>
      <c r="AB568" s="10"/>
      <c r="AC568" s="10" t="s">
        <v>882</v>
      </c>
      <c r="AD568" s="10" t="s">
        <v>27</v>
      </c>
      <c r="AE568" s="10"/>
      <c r="AF568" s="10"/>
      <c r="AG568" s="10">
        <v>1</v>
      </c>
    </row>
    <row r="569" spans="25:33" x14ac:dyDescent="0.25">
      <c r="Y569" s="10">
        <v>5</v>
      </c>
      <c r="Z569" s="10" t="s">
        <v>883</v>
      </c>
      <c r="AA569" s="10" t="s">
        <v>25</v>
      </c>
      <c r="AB569" s="10"/>
      <c r="AC569" s="10" t="s">
        <v>884</v>
      </c>
      <c r="AD569" s="10" t="s">
        <v>27</v>
      </c>
      <c r="AE569" s="10"/>
      <c r="AF569" s="10"/>
      <c r="AG569" s="10">
        <v>1</v>
      </c>
    </row>
    <row r="570" spans="25:33" x14ac:dyDescent="0.25">
      <c r="Y570" s="10">
        <v>5</v>
      </c>
      <c r="Z570" s="10" t="s">
        <v>885</v>
      </c>
      <c r="AA570" s="10" t="s">
        <v>78</v>
      </c>
      <c r="AB570" s="10" t="s">
        <v>886</v>
      </c>
      <c r="AC570" s="10" t="s">
        <v>886</v>
      </c>
      <c r="AF570" s="10"/>
      <c r="AG570" s="10">
        <v>1</v>
      </c>
    </row>
    <row r="571" spans="25:33" x14ac:dyDescent="0.25">
      <c r="Y571" s="9">
        <v>6</v>
      </c>
      <c r="Z571" s="9" t="s">
        <v>887</v>
      </c>
      <c r="AA571" s="9" t="s">
        <v>78</v>
      </c>
      <c r="AB571" s="9"/>
      <c r="AC571" s="9" t="s">
        <v>888</v>
      </c>
      <c r="AD571" s="9" t="s">
        <v>27</v>
      </c>
      <c r="AE571" s="9">
        <v>3.0598199999999999E-2</v>
      </c>
      <c r="AF571" s="9"/>
      <c r="AG571" s="9">
        <v>1</v>
      </c>
    </row>
    <row r="572" spans="25:33" x14ac:dyDescent="0.25">
      <c r="Y572" s="9">
        <v>6</v>
      </c>
      <c r="Z572" s="9" t="s">
        <v>889</v>
      </c>
      <c r="AA572" s="9" t="s">
        <v>25</v>
      </c>
      <c r="AB572" s="9"/>
      <c r="AC572" s="9" t="s">
        <v>890</v>
      </c>
      <c r="AD572" s="9" t="s">
        <v>176</v>
      </c>
      <c r="AE572" s="9"/>
      <c r="AF572" s="9"/>
      <c r="AG572" s="9">
        <v>1</v>
      </c>
    </row>
    <row r="573" spans="25:33" x14ac:dyDescent="0.25">
      <c r="Y573" s="10">
        <v>5</v>
      </c>
      <c r="Z573" s="10" t="s">
        <v>891</v>
      </c>
      <c r="AA573" s="10" t="s">
        <v>78</v>
      </c>
      <c r="AB573" s="10" t="s">
        <v>149</v>
      </c>
      <c r="AC573" s="10" t="s">
        <v>149</v>
      </c>
      <c r="AF573" s="10"/>
      <c r="AG573" s="10">
        <v>1</v>
      </c>
    </row>
    <row r="574" spans="25:33" x14ac:dyDescent="0.25">
      <c r="Y574" s="9">
        <v>6</v>
      </c>
      <c r="Z574" s="9" t="s">
        <v>892</v>
      </c>
      <c r="AA574" s="9" t="s">
        <v>78</v>
      </c>
      <c r="AB574" s="9"/>
      <c r="AC574" s="9" t="s">
        <v>153</v>
      </c>
      <c r="AD574" s="9" t="s">
        <v>27</v>
      </c>
      <c r="AE574" s="9">
        <v>9.2943599999999998E-3</v>
      </c>
      <c r="AF574" s="9"/>
      <c r="AG574" s="9">
        <v>1</v>
      </c>
    </row>
    <row r="575" spans="25:33" x14ac:dyDescent="0.25">
      <c r="Y575" s="9">
        <v>6</v>
      </c>
      <c r="Z575" s="9" t="s">
        <v>893</v>
      </c>
      <c r="AA575" s="9" t="s">
        <v>25</v>
      </c>
      <c r="AB575" s="9"/>
      <c r="AC575" s="9" t="s">
        <v>894</v>
      </c>
      <c r="AD575" s="9" t="s">
        <v>176</v>
      </c>
      <c r="AE575" s="9"/>
      <c r="AF575" s="9"/>
      <c r="AG575" s="9">
        <v>2</v>
      </c>
    </row>
    <row r="576" spans="25:33" x14ac:dyDescent="0.25">
      <c r="Y576" s="10">
        <v>5</v>
      </c>
      <c r="Z576" s="10" t="s">
        <v>895</v>
      </c>
      <c r="AA576" s="10" t="s">
        <v>54</v>
      </c>
      <c r="AB576" s="10"/>
      <c r="AC576" s="10" t="s">
        <v>896</v>
      </c>
      <c r="AF576" s="10"/>
      <c r="AG576" s="10">
        <v>1</v>
      </c>
    </row>
    <row r="577" spans="25:33" x14ac:dyDescent="0.25">
      <c r="Y577" s="9">
        <v>6</v>
      </c>
      <c r="Z577" s="9" t="s">
        <v>897</v>
      </c>
      <c r="AA577" s="9" t="s">
        <v>54</v>
      </c>
      <c r="AB577" s="9"/>
      <c r="AC577" s="9" t="s">
        <v>898</v>
      </c>
      <c r="AD577" s="9"/>
      <c r="AE577" s="9">
        <v>0</v>
      </c>
      <c r="AF577" s="9"/>
      <c r="AG577" s="9">
        <v>1</v>
      </c>
    </row>
    <row r="578" spans="25:33" x14ac:dyDescent="0.25">
      <c r="Y578" s="9">
        <v>6</v>
      </c>
      <c r="Z578" s="9" t="s">
        <v>899</v>
      </c>
      <c r="AA578" s="9" t="s">
        <v>54</v>
      </c>
      <c r="AB578" s="9"/>
      <c r="AC578" s="9" t="s">
        <v>900</v>
      </c>
      <c r="AD578" s="9"/>
      <c r="AE578" s="9">
        <v>0</v>
      </c>
      <c r="AF578" s="9"/>
      <c r="AG578" s="9">
        <v>1</v>
      </c>
    </row>
    <row r="579" spans="25:33" x14ac:dyDescent="0.25">
      <c r="Y579" s="9">
        <v>6</v>
      </c>
      <c r="Z579" s="9" t="s">
        <v>901</v>
      </c>
      <c r="AA579" s="9" t="s">
        <v>54</v>
      </c>
      <c r="AB579" s="9"/>
      <c r="AC579" s="9" t="s">
        <v>880</v>
      </c>
      <c r="AD579" s="9"/>
      <c r="AE579" s="9">
        <v>0</v>
      </c>
      <c r="AF579" s="9"/>
      <c r="AG579" s="9">
        <v>2</v>
      </c>
    </row>
    <row r="580" spans="25:33" x14ac:dyDescent="0.25">
      <c r="Y580" s="10">
        <v>5</v>
      </c>
      <c r="Z580" s="10" t="s">
        <v>902</v>
      </c>
      <c r="AA580" s="10" t="s">
        <v>35</v>
      </c>
      <c r="AB580" s="10" t="s">
        <v>903</v>
      </c>
      <c r="AC580" s="10" t="s">
        <v>873</v>
      </c>
      <c r="AF580" s="10" t="s">
        <v>218</v>
      </c>
      <c r="AG580" s="10">
        <v>1</v>
      </c>
    </row>
    <row r="581" spans="25:33" x14ac:dyDescent="0.25">
      <c r="Y581" s="9">
        <v>6</v>
      </c>
      <c r="Z581" s="9" t="s">
        <v>904</v>
      </c>
      <c r="AA581" s="9" t="s">
        <v>25</v>
      </c>
      <c r="AB581" s="9" t="s">
        <v>789</v>
      </c>
      <c r="AC581" s="9" t="s">
        <v>905</v>
      </c>
      <c r="AD581" s="9" t="s">
        <v>101</v>
      </c>
      <c r="AE581" s="9">
        <v>3.8288200000000001E-2</v>
      </c>
      <c r="AF581" s="9"/>
      <c r="AG581" s="9">
        <v>1</v>
      </c>
    </row>
    <row r="582" spans="25:33" x14ac:dyDescent="0.25">
      <c r="Y582" s="9">
        <v>6</v>
      </c>
      <c r="Z582" s="9" t="s">
        <v>906</v>
      </c>
      <c r="AA582" s="9" t="s">
        <v>25</v>
      </c>
      <c r="AB582" s="9"/>
      <c r="AC582" s="9" t="s">
        <v>907</v>
      </c>
      <c r="AD582" s="9" t="s">
        <v>876</v>
      </c>
      <c r="AE582" s="9">
        <v>3.9122499999999998E-2</v>
      </c>
      <c r="AF582" s="9"/>
      <c r="AG582" s="9">
        <v>1</v>
      </c>
    </row>
    <row r="583" spans="25:33" x14ac:dyDescent="0.25">
      <c r="Y583" s="9">
        <v>6</v>
      </c>
      <c r="Z583" s="9" t="s">
        <v>908</v>
      </c>
      <c r="AA583" s="9" t="s">
        <v>25</v>
      </c>
      <c r="AB583" s="9" t="s">
        <v>789</v>
      </c>
      <c r="AC583" s="9" t="s">
        <v>909</v>
      </c>
      <c r="AD583" s="9" t="s">
        <v>101</v>
      </c>
      <c r="AE583" s="9">
        <v>2.3858299999999999E-2</v>
      </c>
      <c r="AF583" s="9"/>
      <c r="AG583" s="9">
        <v>1</v>
      </c>
    </row>
    <row r="584" spans="25:33" x14ac:dyDescent="0.25">
      <c r="Y584" s="10">
        <v>5</v>
      </c>
      <c r="Z584" s="10" t="s">
        <v>910</v>
      </c>
      <c r="AA584" s="10" t="s">
        <v>25</v>
      </c>
      <c r="AB584" s="10" t="s">
        <v>789</v>
      </c>
      <c r="AC584" s="10" t="s">
        <v>911</v>
      </c>
      <c r="AD584" s="10" t="s">
        <v>101</v>
      </c>
      <c r="AE584" s="10">
        <v>9.0527400000000001E-3</v>
      </c>
      <c r="AF584" s="10"/>
      <c r="AG584" s="10">
        <v>1</v>
      </c>
    </row>
    <row r="585" spans="25:33" x14ac:dyDescent="0.25">
      <c r="Y585" s="10">
        <v>5</v>
      </c>
      <c r="Z585" s="10" t="s">
        <v>788</v>
      </c>
      <c r="AA585" s="10" t="s">
        <v>25</v>
      </c>
      <c r="AB585" s="10" t="s">
        <v>789</v>
      </c>
      <c r="AC585" s="10" t="s">
        <v>790</v>
      </c>
      <c r="AD585" s="10" t="s">
        <v>101</v>
      </c>
      <c r="AE585" s="10">
        <v>9.3418799999999996E-2</v>
      </c>
      <c r="AF585" s="10"/>
      <c r="AG585" s="10">
        <v>1</v>
      </c>
    </row>
    <row r="586" spans="25:33" ht="30" x14ac:dyDescent="0.25">
      <c r="Y586" s="10">
        <v>5</v>
      </c>
      <c r="Z586" s="10" t="s">
        <v>856</v>
      </c>
      <c r="AA586" s="10" t="s">
        <v>25</v>
      </c>
      <c r="AB586" s="12" t="s">
        <v>857</v>
      </c>
      <c r="AC586" s="10" t="s">
        <v>111</v>
      </c>
      <c r="AD586" s="10" t="s">
        <v>101</v>
      </c>
      <c r="AE586" s="10">
        <v>4.4286499999999999E-2</v>
      </c>
      <c r="AF586" s="10"/>
      <c r="AG586" s="10">
        <v>1</v>
      </c>
    </row>
    <row r="587" spans="25:33" ht="30" x14ac:dyDescent="0.25">
      <c r="Y587" s="10">
        <v>5</v>
      </c>
      <c r="Z587" s="10" t="s">
        <v>794</v>
      </c>
      <c r="AA587" s="10" t="s">
        <v>25</v>
      </c>
      <c r="AB587" s="12" t="s">
        <v>795</v>
      </c>
      <c r="AC587" s="10" t="s">
        <v>793</v>
      </c>
      <c r="AD587" s="10" t="s">
        <v>101</v>
      </c>
      <c r="AE587" s="10">
        <v>2.9291600000000001E-2</v>
      </c>
      <c r="AF587" s="10"/>
      <c r="AG587" s="10">
        <v>1</v>
      </c>
    </row>
    <row r="588" spans="25:33" x14ac:dyDescent="0.25">
      <c r="Y588" s="10">
        <v>5</v>
      </c>
      <c r="Z588" s="10" t="s">
        <v>912</v>
      </c>
      <c r="AA588" s="10" t="s">
        <v>54</v>
      </c>
      <c r="AB588" s="10" t="s">
        <v>913</v>
      </c>
      <c r="AC588" s="10" t="s">
        <v>914</v>
      </c>
      <c r="AD588" s="10"/>
      <c r="AE588" s="10">
        <v>0</v>
      </c>
      <c r="AF588" s="10"/>
      <c r="AG588" s="10">
        <v>1</v>
      </c>
    </row>
    <row r="589" spans="25:33" x14ac:dyDescent="0.25">
      <c r="Y589" s="10">
        <v>5</v>
      </c>
      <c r="Z589" s="10" t="s">
        <v>915</v>
      </c>
      <c r="AA589" s="10" t="s">
        <v>25</v>
      </c>
      <c r="AB589" s="10"/>
      <c r="AC589" s="10" t="s">
        <v>916</v>
      </c>
      <c r="AD589" s="10" t="s">
        <v>27</v>
      </c>
      <c r="AE589" s="10"/>
      <c r="AF589" s="10"/>
      <c r="AG589" s="10">
        <v>2</v>
      </c>
    </row>
    <row r="590" spans="25:33" x14ac:dyDescent="0.25">
      <c r="Y590" s="10">
        <v>5</v>
      </c>
      <c r="Z590" s="10" t="s">
        <v>253</v>
      </c>
      <c r="AA590" s="10" t="s">
        <v>25</v>
      </c>
      <c r="AB590" s="10" t="s">
        <v>254</v>
      </c>
      <c r="AC590" s="10" t="s">
        <v>254</v>
      </c>
      <c r="AD590" s="10" t="s">
        <v>27</v>
      </c>
      <c r="AE590" s="10"/>
      <c r="AF590" s="10"/>
      <c r="AG590" s="10">
        <v>8</v>
      </c>
    </row>
    <row r="591" spans="25:33" x14ac:dyDescent="0.25">
      <c r="Y591" s="10">
        <v>5</v>
      </c>
      <c r="Z591" s="10" t="s">
        <v>796</v>
      </c>
      <c r="AA591" s="10" t="s">
        <v>25</v>
      </c>
      <c r="AB591" s="10"/>
      <c r="AC591" s="10" t="s">
        <v>5</v>
      </c>
      <c r="AD591" s="10" t="s">
        <v>27</v>
      </c>
      <c r="AE591" s="10"/>
      <c r="AF591" s="10"/>
      <c r="AG591" s="10">
        <v>8</v>
      </c>
    </row>
    <row r="592" spans="25:33" ht="90" x14ac:dyDescent="0.25">
      <c r="Y592" s="9">
        <v>4</v>
      </c>
      <c r="Z592" s="9" t="s">
        <v>251</v>
      </c>
      <c r="AA592" s="9" t="s">
        <v>78</v>
      </c>
      <c r="AB592" s="11" t="s">
        <v>252</v>
      </c>
      <c r="AC592" s="9" t="s">
        <v>111</v>
      </c>
      <c r="AD592" s="9" t="s">
        <v>101</v>
      </c>
      <c r="AE592" s="9">
        <v>4.8415899999999998E-3</v>
      </c>
      <c r="AF592" s="9" t="s">
        <v>150</v>
      </c>
      <c r="AG592" s="9">
        <v>5</v>
      </c>
    </row>
    <row r="593" spans="25:33" x14ac:dyDescent="0.25">
      <c r="Y593" s="9">
        <v>4</v>
      </c>
      <c r="Z593" s="9" t="s">
        <v>917</v>
      </c>
      <c r="AA593" s="9" t="s">
        <v>25</v>
      </c>
      <c r="AB593" s="9"/>
      <c r="AC593" s="9" t="s">
        <v>671</v>
      </c>
      <c r="AD593" s="9" t="s">
        <v>27</v>
      </c>
      <c r="AE593" s="9"/>
      <c r="AF593" s="9"/>
      <c r="AG593" s="9">
        <v>6</v>
      </c>
    </row>
    <row r="594" spans="25:33" x14ac:dyDescent="0.25">
      <c r="Y594" s="9">
        <v>4</v>
      </c>
      <c r="Z594" s="9" t="s">
        <v>10</v>
      </c>
      <c r="AA594" s="9" t="s">
        <v>25</v>
      </c>
      <c r="AB594" s="9"/>
      <c r="AC594" s="9" t="s">
        <v>9</v>
      </c>
      <c r="AD594" s="9" t="s">
        <v>27</v>
      </c>
      <c r="AE594" s="9"/>
      <c r="AF594" s="9"/>
      <c r="AG594" s="9">
        <v>12</v>
      </c>
    </row>
    <row r="595" spans="25:33" x14ac:dyDescent="0.25">
      <c r="Y595" s="9">
        <v>4</v>
      </c>
      <c r="Z595" s="9" t="s">
        <v>918</v>
      </c>
      <c r="AA595" s="9" t="s">
        <v>78</v>
      </c>
      <c r="AB595" s="9" t="s">
        <v>193</v>
      </c>
      <c r="AC595" s="9" t="s">
        <v>919</v>
      </c>
      <c r="AD595" s="9" t="s">
        <v>101</v>
      </c>
      <c r="AE595" s="9">
        <v>1.5155099999999999E-2</v>
      </c>
      <c r="AF595" s="9"/>
      <c r="AG595" s="9">
        <v>25</v>
      </c>
    </row>
    <row r="596" spans="25:33" x14ac:dyDescent="0.25">
      <c r="Y596" s="9">
        <v>4</v>
      </c>
      <c r="Z596" s="9" t="s">
        <v>253</v>
      </c>
      <c r="AA596" s="9" t="s">
        <v>25</v>
      </c>
      <c r="AB596" s="9" t="s">
        <v>254</v>
      </c>
      <c r="AC596" s="9" t="s">
        <v>254</v>
      </c>
      <c r="AD596" s="9" t="s">
        <v>27</v>
      </c>
      <c r="AE596" s="9"/>
      <c r="AF596" s="9"/>
      <c r="AG596" s="9">
        <v>44</v>
      </c>
    </row>
    <row r="597" spans="25:33" x14ac:dyDescent="0.25">
      <c r="Y597" s="9">
        <v>4</v>
      </c>
      <c r="Z597" s="9" t="s">
        <v>4</v>
      </c>
      <c r="AA597" s="9" t="s">
        <v>25</v>
      </c>
      <c r="AB597" s="9"/>
      <c r="AC597" s="9" t="s">
        <v>5</v>
      </c>
      <c r="AD597" s="9" t="s">
        <v>27</v>
      </c>
      <c r="AE597" s="9"/>
      <c r="AF597" s="9"/>
      <c r="AG597" s="9">
        <v>44</v>
      </c>
    </row>
    <row r="598" spans="25:33" x14ac:dyDescent="0.25">
      <c r="Y598" s="9">
        <v>4</v>
      </c>
      <c r="Z598" s="9" t="s">
        <v>920</v>
      </c>
      <c r="AA598" s="9" t="s">
        <v>921</v>
      </c>
      <c r="AB598" s="9" t="s">
        <v>244</v>
      </c>
      <c r="AC598" s="9" t="s">
        <v>244</v>
      </c>
      <c r="AD598" s="9" t="s">
        <v>101</v>
      </c>
      <c r="AE598" s="9">
        <v>1.59328E-2</v>
      </c>
      <c r="AF598" s="9" t="s">
        <v>102</v>
      </c>
      <c r="AG598" s="9">
        <v>49</v>
      </c>
    </row>
    <row r="599" spans="25:33" x14ac:dyDescent="0.25">
      <c r="Y599" s="9">
        <v>4</v>
      </c>
      <c r="Z599" s="9" t="s">
        <v>259</v>
      </c>
      <c r="AA599" s="9" t="s">
        <v>35</v>
      </c>
      <c r="AB599" s="9"/>
      <c r="AC599" s="9" t="s">
        <v>260</v>
      </c>
      <c r="AD599" s="9" t="s">
        <v>27</v>
      </c>
      <c r="AE599" s="9">
        <v>3.5726600000000002E-4</v>
      </c>
      <c r="AF599" s="9"/>
      <c r="AG599" s="9">
        <v>154</v>
      </c>
    </row>
    <row r="600" spans="25:33" x14ac:dyDescent="0.25">
      <c r="Y600" s="9">
        <v>4</v>
      </c>
      <c r="Z600" s="9" t="s">
        <v>6</v>
      </c>
      <c r="AA600" s="9" t="s">
        <v>35</v>
      </c>
      <c r="AB600" s="9"/>
      <c r="AC600" s="9" t="s">
        <v>7</v>
      </c>
      <c r="AD600" s="9" t="s">
        <v>27</v>
      </c>
      <c r="AE600" s="9"/>
      <c r="AF600" s="9"/>
      <c r="AG600" s="9">
        <v>154</v>
      </c>
    </row>
    <row r="601" spans="25:33" x14ac:dyDescent="0.25">
      <c r="Y601" s="10">
        <v>3</v>
      </c>
      <c r="Z601" s="10" t="s">
        <v>922</v>
      </c>
      <c r="AA601" s="10" t="s">
        <v>780</v>
      </c>
      <c r="AB601" s="10" t="s">
        <v>923</v>
      </c>
      <c r="AC601" s="10" t="s">
        <v>923</v>
      </c>
      <c r="AF601" s="10" t="s">
        <v>218</v>
      </c>
      <c r="AG601" s="10">
        <v>1</v>
      </c>
    </row>
    <row r="602" spans="25:33" x14ac:dyDescent="0.25">
      <c r="Y602" s="9">
        <v>4</v>
      </c>
      <c r="Z602" s="9" t="s">
        <v>924</v>
      </c>
      <c r="AA602" s="9" t="s">
        <v>17</v>
      </c>
      <c r="AB602" s="9" t="s">
        <v>558</v>
      </c>
      <c r="AC602" s="9" t="s">
        <v>558</v>
      </c>
      <c r="AF602" s="9" t="s">
        <v>102</v>
      </c>
      <c r="AG602" s="9">
        <v>1</v>
      </c>
    </row>
    <row r="603" spans="25:33" x14ac:dyDescent="0.25">
      <c r="Y603" s="10">
        <v>5</v>
      </c>
      <c r="Z603" s="10" t="s">
        <v>925</v>
      </c>
      <c r="AA603" s="10" t="s">
        <v>17</v>
      </c>
      <c r="AB603" s="10" t="s">
        <v>198</v>
      </c>
      <c r="AC603" s="10" t="s">
        <v>198</v>
      </c>
      <c r="AD603" s="10" t="s">
        <v>101</v>
      </c>
      <c r="AE603" s="10">
        <v>1.0405299999999999E-2</v>
      </c>
      <c r="AF603" s="10" t="s">
        <v>102</v>
      </c>
      <c r="AG603" s="10">
        <v>1</v>
      </c>
    </row>
    <row r="604" spans="25:33" x14ac:dyDescent="0.25">
      <c r="Y604" s="10">
        <v>5</v>
      </c>
      <c r="Z604" s="10" t="s">
        <v>926</v>
      </c>
      <c r="AA604" s="10" t="s">
        <v>17</v>
      </c>
      <c r="AB604" s="10" t="s">
        <v>927</v>
      </c>
      <c r="AC604" s="10" t="s">
        <v>927</v>
      </c>
      <c r="AD604" s="10" t="s">
        <v>928</v>
      </c>
      <c r="AE604" s="10">
        <v>5.5874099999999997E-4</v>
      </c>
      <c r="AF604" s="10" t="s">
        <v>102</v>
      </c>
      <c r="AG604" s="10">
        <v>1</v>
      </c>
    </row>
    <row r="605" spans="25:33" x14ac:dyDescent="0.25">
      <c r="Y605" s="9">
        <v>4</v>
      </c>
      <c r="Z605" s="9" t="s">
        <v>929</v>
      </c>
      <c r="AA605" s="9" t="s">
        <v>17</v>
      </c>
      <c r="AB605" s="9" t="s">
        <v>198</v>
      </c>
      <c r="AC605" s="9" t="s">
        <v>198</v>
      </c>
      <c r="AD605" s="9" t="s">
        <v>101</v>
      </c>
      <c r="AE605" s="9">
        <v>5.7567100000000003E-2</v>
      </c>
      <c r="AF605" s="9" t="s">
        <v>102</v>
      </c>
      <c r="AG605" s="9">
        <v>1</v>
      </c>
    </row>
    <row r="606" spans="25:33" x14ac:dyDescent="0.25">
      <c r="Y606" s="9">
        <v>4</v>
      </c>
      <c r="Z606" s="9" t="s">
        <v>930</v>
      </c>
      <c r="AA606" s="9" t="s">
        <v>931</v>
      </c>
      <c r="AB606" s="9" t="s">
        <v>932</v>
      </c>
      <c r="AC606" s="9" t="s">
        <v>932</v>
      </c>
      <c r="AD606" s="9" t="s">
        <v>292</v>
      </c>
      <c r="AE606" s="9">
        <v>8.6367899999999997E-2</v>
      </c>
      <c r="AF606" s="9" t="s">
        <v>218</v>
      </c>
      <c r="AG606" s="9">
        <v>1</v>
      </c>
    </row>
    <row r="607" spans="25:33" x14ac:dyDescent="0.25">
      <c r="Y607" s="9">
        <v>4</v>
      </c>
      <c r="Z607" s="9" t="s">
        <v>261</v>
      </c>
      <c r="AA607" s="9" t="s">
        <v>25</v>
      </c>
      <c r="AB607" s="9"/>
      <c r="AC607" s="9" t="s">
        <v>9</v>
      </c>
      <c r="AD607" s="9" t="s">
        <v>27</v>
      </c>
      <c r="AE607" s="9"/>
      <c r="AF607" s="9"/>
      <c r="AG607" s="9">
        <v>2</v>
      </c>
    </row>
    <row r="608" spans="25:33" x14ac:dyDescent="0.25">
      <c r="Y608" s="9">
        <v>4</v>
      </c>
      <c r="Z608" s="9" t="s">
        <v>933</v>
      </c>
      <c r="AA608" s="9" t="s">
        <v>25</v>
      </c>
      <c r="AB608" s="9" t="s">
        <v>934</v>
      </c>
      <c r="AC608" s="9" t="s">
        <v>934</v>
      </c>
      <c r="AF608" s="9"/>
      <c r="AG608" s="9">
        <v>2</v>
      </c>
    </row>
    <row r="609" spans="25:33" x14ac:dyDescent="0.25">
      <c r="Y609" s="10">
        <v>5</v>
      </c>
      <c r="Z609" s="10" t="s">
        <v>935</v>
      </c>
      <c r="AA609" s="10" t="s">
        <v>25</v>
      </c>
      <c r="AB609" s="10" t="s">
        <v>936</v>
      </c>
      <c r="AC609" s="10" t="s">
        <v>936</v>
      </c>
      <c r="AD609" s="10"/>
      <c r="AE609" s="10">
        <v>0</v>
      </c>
      <c r="AF609" s="10"/>
      <c r="AG609" s="10">
        <v>1</v>
      </c>
    </row>
    <row r="610" spans="25:33" x14ac:dyDescent="0.25">
      <c r="Y610" s="10">
        <v>5</v>
      </c>
      <c r="Z610" s="10" t="s">
        <v>937</v>
      </c>
      <c r="AA610" s="10" t="s">
        <v>25</v>
      </c>
      <c r="AB610" s="10" t="s">
        <v>938</v>
      </c>
      <c r="AC610" s="10" t="s">
        <v>938</v>
      </c>
      <c r="AD610" s="10"/>
      <c r="AE610" s="10">
        <v>0</v>
      </c>
      <c r="AF610" s="10"/>
      <c r="AG610" s="10">
        <v>1</v>
      </c>
    </row>
    <row r="611" spans="25:33" x14ac:dyDescent="0.25">
      <c r="Y611" s="10">
        <v>5</v>
      </c>
      <c r="Z611" s="10" t="s">
        <v>939</v>
      </c>
      <c r="AA611" s="10" t="s">
        <v>25</v>
      </c>
      <c r="AB611" s="10" t="s">
        <v>940</v>
      </c>
      <c r="AC611" s="10" t="s">
        <v>940</v>
      </c>
      <c r="AD611" s="10"/>
      <c r="AE611" s="10">
        <v>0</v>
      </c>
      <c r="AF611" s="10"/>
      <c r="AG611" s="10">
        <v>1</v>
      </c>
    </row>
    <row r="612" spans="25:33" x14ac:dyDescent="0.25">
      <c r="Y612" s="9">
        <v>4</v>
      </c>
      <c r="Z612" s="9" t="s">
        <v>941</v>
      </c>
      <c r="AA612" s="9" t="s">
        <v>931</v>
      </c>
      <c r="AB612" s="9" t="s">
        <v>239</v>
      </c>
      <c r="AC612" s="9" t="s">
        <v>239</v>
      </c>
      <c r="AD612" s="9" t="s">
        <v>942</v>
      </c>
      <c r="AE612" s="9">
        <v>4.9681600000000001E-3</v>
      </c>
      <c r="AF612" s="9" t="s">
        <v>218</v>
      </c>
      <c r="AG612" s="9">
        <v>2</v>
      </c>
    </row>
    <row r="613" spans="25:33" x14ac:dyDescent="0.25">
      <c r="Y613" s="9">
        <v>4</v>
      </c>
      <c r="Z613" s="9" t="s">
        <v>756</v>
      </c>
      <c r="AA613" s="9" t="s">
        <v>485</v>
      </c>
      <c r="AB613" s="9"/>
      <c r="AC613" s="9" t="s">
        <v>757</v>
      </c>
      <c r="AF613" s="9" t="s">
        <v>218</v>
      </c>
      <c r="AG613" s="9">
        <v>2</v>
      </c>
    </row>
    <row r="614" spans="25:33" x14ac:dyDescent="0.25">
      <c r="Y614" s="10">
        <v>5</v>
      </c>
      <c r="Z614" s="10" t="s">
        <v>760</v>
      </c>
      <c r="AA614" s="10" t="s">
        <v>485</v>
      </c>
      <c r="AB614" s="10"/>
      <c r="AC614" s="10" t="s">
        <v>309</v>
      </c>
      <c r="AD614" s="10" t="s">
        <v>101</v>
      </c>
      <c r="AE614" s="10">
        <v>4.9734100000000002E-3</v>
      </c>
      <c r="AF614" s="10" t="s">
        <v>150</v>
      </c>
      <c r="AG614" s="10">
        <v>1</v>
      </c>
    </row>
    <row r="615" spans="25:33" x14ac:dyDescent="0.25">
      <c r="Y615" s="10">
        <v>5</v>
      </c>
      <c r="Z615" s="10" t="s">
        <v>758</v>
      </c>
      <c r="AA615" s="10" t="s">
        <v>485</v>
      </c>
      <c r="AB615" s="10"/>
      <c r="AC615" s="10" t="s">
        <v>759</v>
      </c>
      <c r="AD615" s="10" t="s">
        <v>594</v>
      </c>
      <c r="AE615" s="13">
        <v>9.22966E-5</v>
      </c>
      <c r="AF615" s="10" t="s">
        <v>165</v>
      </c>
      <c r="AG615" s="10">
        <v>1</v>
      </c>
    </row>
    <row r="616" spans="25:33" x14ac:dyDescent="0.25">
      <c r="Y616" s="9">
        <v>4</v>
      </c>
      <c r="Z616" s="9" t="s">
        <v>643</v>
      </c>
      <c r="AA616" s="9" t="s">
        <v>25</v>
      </c>
      <c r="AB616" s="9" t="s">
        <v>644</v>
      </c>
      <c r="AC616" s="9" t="s">
        <v>645</v>
      </c>
      <c r="AD616" s="9" t="s">
        <v>176</v>
      </c>
      <c r="AE616" s="9">
        <v>6.4565899999999996E-2</v>
      </c>
      <c r="AF616" s="9"/>
      <c r="AG616" s="9">
        <v>2</v>
      </c>
    </row>
    <row r="617" spans="25:33" x14ac:dyDescent="0.25">
      <c r="Y617" s="9">
        <v>4</v>
      </c>
      <c r="Z617" s="9" t="s">
        <v>646</v>
      </c>
      <c r="AA617" s="9" t="s">
        <v>25</v>
      </c>
      <c r="AB617" s="9" t="s">
        <v>647</v>
      </c>
      <c r="AC617" s="9" t="s">
        <v>647</v>
      </c>
      <c r="AD617" s="9"/>
      <c r="AE617" s="9">
        <v>0</v>
      </c>
      <c r="AF617" s="9"/>
      <c r="AG617" s="9">
        <v>2</v>
      </c>
    </row>
    <row r="618" spans="25:33" x14ac:dyDescent="0.25">
      <c r="Y618" s="9">
        <v>4</v>
      </c>
      <c r="Z618" s="9" t="s">
        <v>943</v>
      </c>
      <c r="AA618" s="9" t="s">
        <v>931</v>
      </c>
      <c r="AB618" s="9" t="s">
        <v>932</v>
      </c>
      <c r="AC618" s="9" t="s">
        <v>932</v>
      </c>
      <c r="AD618" s="9" t="s">
        <v>486</v>
      </c>
      <c r="AE618" s="9">
        <v>2.72155E-4</v>
      </c>
      <c r="AF618" s="9" t="s">
        <v>218</v>
      </c>
      <c r="AG618" s="9">
        <v>2</v>
      </c>
    </row>
    <row r="619" spans="25:33" x14ac:dyDescent="0.25">
      <c r="Y619" s="9">
        <v>4</v>
      </c>
      <c r="Z619" s="9" t="s">
        <v>944</v>
      </c>
      <c r="AA619" s="9" t="s">
        <v>25</v>
      </c>
      <c r="AB619" s="9"/>
      <c r="AC619" s="9" t="s">
        <v>178</v>
      </c>
      <c r="AD619" s="9" t="s">
        <v>27</v>
      </c>
      <c r="AE619" s="9"/>
      <c r="AF619" s="9"/>
      <c r="AG619" s="9">
        <v>4</v>
      </c>
    </row>
    <row r="620" spans="25:33" x14ac:dyDescent="0.25">
      <c r="Y620" s="9">
        <v>4</v>
      </c>
      <c r="Z620" s="9" t="s">
        <v>10</v>
      </c>
      <c r="AA620" s="9" t="s">
        <v>25</v>
      </c>
      <c r="AB620" s="9"/>
      <c r="AC620" s="9" t="s">
        <v>9</v>
      </c>
      <c r="AD620" s="9" t="s">
        <v>27</v>
      </c>
      <c r="AE620" s="9"/>
      <c r="AF620" s="9"/>
      <c r="AG620" s="9">
        <v>4</v>
      </c>
    </row>
    <row r="621" spans="25:33" x14ac:dyDescent="0.25">
      <c r="Y621" s="9">
        <v>4</v>
      </c>
      <c r="Z621" s="9" t="s">
        <v>945</v>
      </c>
      <c r="AA621" s="9" t="s">
        <v>25</v>
      </c>
      <c r="AB621" s="9"/>
      <c r="AC621" s="9" t="s">
        <v>9</v>
      </c>
      <c r="AD621" s="9" t="s">
        <v>27</v>
      </c>
      <c r="AE621" s="9"/>
      <c r="AF621" s="9"/>
      <c r="AG621" s="9">
        <v>4</v>
      </c>
    </row>
    <row r="622" spans="25:33" x14ac:dyDescent="0.25">
      <c r="Y622" s="9">
        <v>4</v>
      </c>
      <c r="Z622" s="9" t="s">
        <v>946</v>
      </c>
      <c r="AA622" s="9" t="s">
        <v>25</v>
      </c>
      <c r="AB622" s="9"/>
      <c r="AC622" s="9" t="s">
        <v>947</v>
      </c>
      <c r="AD622" s="9" t="s">
        <v>335</v>
      </c>
      <c r="AE622" s="9"/>
      <c r="AF622" s="9"/>
      <c r="AG622" s="9">
        <v>4</v>
      </c>
    </row>
    <row r="623" spans="25:33" x14ac:dyDescent="0.25">
      <c r="Y623" s="9">
        <v>4</v>
      </c>
      <c r="Z623" s="9" t="s">
        <v>8</v>
      </c>
      <c r="AA623" s="9" t="s">
        <v>25</v>
      </c>
      <c r="AB623" s="9"/>
      <c r="AC623" s="9" t="s">
        <v>9</v>
      </c>
      <c r="AD623" s="9" t="s">
        <v>27</v>
      </c>
      <c r="AE623" s="9"/>
      <c r="AF623" s="9"/>
      <c r="AG623" s="9">
        <v>4</v>
      </c>
    </row>
    <row r="624" spans="25:33" x14ac:dyDescent="0.25">
      <c r="Y624" s="9">
        <v>4</v>
      </c>
      <c r="Z624" s="9" t="s">
        <v>948</v>
      </c>
      <c r="AA624" s="9" t="s">
        <v>25</v>
      </c>
      <c r="AB624" s="9"/>
      <c r="AC624" s="9" t="s">
        <v>949</v>
      </c>
      <c r="AD624" s="9" t="s">
        <v>27</v>
      </c>
      <c r="AE624" s="9"/>
      <c r="AF624" s="9"/>
      <c r="AG624" s="9">
        <v>8</v>
      </c>
    </row>
    <row r="625" spans="25:33" x14ac:dyDescent="0.25">
      <c r="Y625" s="9">
        <v>4</v>
      </c>
      <c r="Z625" s="9" t="s">
        <v>950</v>
      </c>
      <c r="AA625" s="9" t="s">
        <v>25</v>
      </c>
      <c r="AB625" s="9"/>
      <c r="AC625" s="9" t="s">
        <v>260</v>
      </c>
      <c r="AD625" s="9" t="s">
        <v>27</v>
      </c>
      <c r="AE625" s="9"/>
      <c r="AF625" s="9"/>
      <c r="AG625" s="9">
        <v>8</v>
      </c>
    </row>
    <row r="626" spans="25:33" x14ac:dyDescent="0.25">
      <c r="Y626" s="10">
        <v>3</v>
      </c>
      <c r="Z626" s="10" t="s">
        <v>951</v>
      </c>
      <c r="AA626" s="10" t="s">
        <v>78</v>
      </c>
      <c r="AB626" s="10" t="s">
        <v>952</v>
      </c>
      <c r="AC626" s="10" t="s">
        <v>952</v>
      </c>
      <c r="AF626" s="10"/>
      <c r="AG626" s="10">
        <v>2</v>
      </c>
    </row>
    <row r="627" spans="25:33" x14ac:dyDescent="0.25">
      <c r="Y627" s="9">
        <v>4</v>
      </c>
      <c r="Z627" s="9" t="s">
        <v>719</v>
      </c>
      <c r="AA627" s="9" t="s">
        <v>25</v>
      </c>
      <c r="AB627" s="9" t="s">
        <v>332</v>
      </c>
      <c r="AC627" s="9" t="s">
        <v>332</v>
      </c>
      <c r="AF627" s="9"/>
      <c r="AG627" s="9">
        <v>2</v>
      </c>
    </row>
    <row r="628" spans="25:33" x14ac:dyDescent="0.25">
      <c r="Y628" s="10">
        <v>5</v>
      </c>
      <c r="Z628" s="10" t="s">
        <v>720</v>
      </c>
      <c r="AA628" s="10" t="s">
        <v>25</v>
      </c>
      <c r="AB628" s="10" t="s">
        <v>334</v>
      </c>
      <c r="AC628" s="10" t="s">
        <v>334</v>
      </c>
      <c r="AD628" s="10" t="s">
        <v>335</v>
      </c>
      <c r="AE628" s="10">
        <v>0.45253199999999999</v>
      </c>
      <c r="AF628" s="10"/>
      <c r="AG628" s="10">
        <v>1</v>
      </c>
    </row>
    <row r="629" spans="25:33" x14ac:dyDescent="0.25">
      <c r="Y629" s="10">
        <v>5</v>
      </c>
      <c r="Z629" s="10" t="s">
        <v>721</v>
      </c>
      <c r="AA629" s="10" t="s">
        <v>25</v>
      </c>
      <c r="AB629" s="10" t="s">
        <v>337</v>
      </c>
      <c r="AC629" s="10" t="s">
        <v>337</v>
      </c>
      <c r="AD629" s="10" t="s">
        <v>335</v>
      </c>
      <c r="AE629" s="10">
        <v>0.42641299999999999</v>
      </c>
      <c r="AF629" s="10"/>
      <c r="AG629" s="10">
        <v>1</v>
      </c>
    </row>
    <row r="630" spans="25:33" x14ac:dyDescent="0.25">
      <c r="Y630" s="10">
        <v>5</v>
      </c>
      <c r="Z630" s="10" t="s">
        <v>722</v>
      </c>
      <c r="AA630" s="10" t="s">
        <v>25</v>
      </c>
      <c r="AB630" s="10" t="s">
        <v>339</v>
      </c>
      <c r="AC630" s="10" t="s">
        <v>339</v>
      </c>
      <c r="AD630" s="10" t="s">
        <v>335</v>
      </c>
      <c r="AE630" s="10">
        <v>0.85629699999999997</v>
      </c>
      <c r="AF630" s="10"/>
      <c r="AG630" s="10">
        <v>1</v>
      </c>
    </row>
    <row r="631" spans="25:33" x14ac:dyDescent="0.25">
      <c r="Y631" s="10">
        <v>5</v>
      </c>
      <c r="Z631" s="10" t="s">
        <v>723</v>
      </c>
      <c r="AA631" s="10" t="s">
        <v>25</v>
      </c>
      <c r="AB631" s="10" t="s">
        <v>341</v>
      </c>
      <c r="AC631" s="10" t="s">
        <v>342</v>
      </c>
      <c r="AD631" s="10" t="s">
        <v>335</v>
      </c>
      <c r="AE631" s="10">
        <v>0.1633</v>
      </c>
      <c r="AF631" s="10"/>
      <c r="AG631" s="10">
        <v>1</v>
      </c>
    </row>
    <row r="632" spans="25:33" x14ac:dyDescent="0.25">
      <c r="Y632" s="9">
        <v>4</v>
      </c>
      <c r="Z632" s="9" t="s">
        <v>8</v>
      </c>
      <c r="AA632" s="9" t="s">
        <v>25</v>
      </c>
      <c r="AB632" s="9"/>
      <c r="AC632" s="9" t="s">
        <v>9</v>
      </c>
      <c r="AD632" s="9" t="s">
        <v>27</v>
      </c>
      <c r="AE632" s="9"/>
      <c r="AF632" s="9"/>
      <c r="AG632" s="9">
        <v>12</v>
      </c>
    </row>
    <row r="633" spans="25:33" x14ac:dyDescent="0.25">
      <c r="Y633" s="9">
        <v>4</v>
      </c>
      <c r="Z633" s="9" t="s">
        <v>953</v>
      </c>
      <c r="AA633" s="9" t="s">
        <v>29</v>
      </c>
      <c r="AB633" s="9" t="s">
        <v>345</v>
      </c>
      <c r="AC633" s="9" t="s">
        <v>345</v>
      </c>
      <c r="AF633" s="9" t="s">
        <v>19</v>
      </c>
      <c r="AG633" s="9">
        <v>1</v>
      </c>
    </row>
    <row r="634" spans="25:33" x14ac:dyDescent="0.25">
      <c r="Y634" s="10">
        <v>5</v>
      </c>
      <c r="Z634" s="10" t="s">
        <v>954</v>
      </c>
      <c r="AA634" s="10" t="s">
        <v>29</v>
      </c>
      <c r="AB634" s="10" t="s">
        <v>474</v>
      </c>
      <c r="AC634" s="10" t="s">
        <v>474</v>
      </c>
      <c r="AF634" s="10" t="s">
        <v>19</v>
      </c>
      <c r="AG634" s="10">
        <v>1</v>
      </c>
    </row>
    <row r="635" spans="25:33" x14ac:dyDescent="0.25">
      <c r="Y635" s="9">
        <v>6</v>
      </c>
      <c r="Z635" s="9" t="s">
        <v>955</v>
      </c>
      <c r="AA635" s="9" t="s">
        <v>29</v>
      </c>
      <c r="AB635" s="9" t="s">
        <v>22</v>
      </c>
      <c r="AC635" s="9" t="s">
        <v>22</v>
      </c>
      <c r="AD635" s="9" t="s">
        <v>23</v>
      </c>
      <c r="AE635" s="9">
        <v>6.9616300000000006E-2</v>
      </c>
      <c r="AF635" s="9" t="s">
        <v>19</v>
      </c>
      <c r="AG635" s="9">
        <v>1</v>
      </c>
    </row>
    <row r="636" spans="25:33" x14ac:dyDescent="0.25">
      <c r="Y636" s="9">
        <v>6</v>
      </c>
      <c r="Z636" s="9" t="s">
        <v>37</v>
      </c>
      <c r="AA636" s="9" t="s">
        <v>25</v>
      </c>
      <c r="AB636" s="9" t="s">
        <v>38</v>
      </c>
      <c r="AC636" s="9" t="s">
        <v>38</v>
      </c>
      <c r="AD636" s="9" t="s">
        <v>27</v>
      </c>
      <c r="AE636" s="9">
        <v>1.3392499999999999E-3</v>
      </c>
      <c r="AF636" s="9"/>
      <c r="AG636" s="9">
        <v>6</v>
      </c>
    </row>
    <row r="637" spans="25:33" x14ac:dyDescent="0.25">
      <c r="Y637" s="10">
        <v>5</v>
      </c>
      <c r="Z637" s="10" t="s">
        <v>956</v>
      </c>
      <c r="AA637" s="10" t="s">
        <v>29</v>
      </c>
      <c r="AB637" s="10" t="s">
        <v>474</v>
      </c>
      <c r="AC637" s="10" t="s">
        <v>474</v>
      </c>
      <c r="AF637" s="10" t="s">
        <v>19</v>
      </c>
      <c r="AG637" s="10">
        <v>1</v>
      </c>
    </row>
    <row r="638" spans="25:33" x14ac:dyDescent="0.25">
      <c r="Y638" s="9">
        <v>6</v>
      </c>
      <c r="Z638" s="9" t="s">
        <v>957</v>
      </c>
      <c r="AA638" s="9" t="s">
        <v>29</v>
      </c>
      <c r="AB638" s="9" t="s">
        <v>22</v>
      </c>
      <c r="AC638" s="9" t="s">
        <v>22</v>
      </c>
      <c r="AD638" s="9" t="s">
        <v>23</v>
      </c>
      <c r="AE638" s="9">
        <v>8.0222699999999994E-2</v>
      </c>
      <c r="AF638" s="9" t="s">
        <v>19</v>
      </c>
      <c r="AG638" s="9">
        <v>1</v>
      </c>
    </row>
    <row r="639" spans="25:33" x14ac:dyDescent="0.25">
      <c r="Y639" s="9">
        <v>6</v>
      </c>
      <c r="Z639" s="9" t="s">
        <v>37</v>
      </c>
      <c r="AA639" s="9" t="s">
        <v>25</v>
      </c>
      <c r="AB639" s="9" t="s">
        <v>38</v>
      </c>
      <c r="AC639" s="9" t="s">
        <v>38</v>
      </c>
      <c r="AD639" s="9" t="s">
        <v>27</v>
      </c>
      <c r="AE639" s="9">
        <v>1.3392499999999999E-3</v>
      </c>
      <c r="AF639" s="9"/>
      <c r="AG639" s="9">
        <v>6</v>
      </c>
    </row>
    <row r="640" spans="25:33" x14ac:dyDescent="0.25">
      <c r="Y640" s="10">
        <v>5</v>
      </c>
      <c r="Z640" s="10" t="s">
        <v>958</v>
      </c>
      <c r="AA640" s="10" t="s">
        <v>29</v>
      </c>
      <c r="AB640" s="10" t="s">
        <v>22</v>
      </c>
      <c r="AC640" s="10" t="s">
        <v>22</v>
      </c>
      <c r="AD640" s="10" t="s">
        <v>23</v>
      </c>
      <c r="AE640" s="10">
        <v>7.5995199999999999E-2</v>
      </c>
      <c r="AF640" s="10" t="s">
        <v>19</v>
      </c>
      <c r="AG640" s="10">
        <v>1</v>
      </c>
    </row>
    <row r="641" spans="25:33" x14ac:dyDescent="0.25">
      <c r="Y641" s="10">
        <v>5</v>
      </c>
      <c r="Z641" s="10" t="s">
        <v>959</v>
      </c>
      <c r="AA641" s="10" t="s">
        <v>29</v>
      </c>
      <c r="AB641" s="10" t="s">
        <v>474</v>
      </c>
      <c r="AC641" s="10" t="s">
        <v>474</v>
      </c>
      <c r="AF641" s="10" t="s">
        <v>19</v>
      </c>
      <c r="AG641" s="10">
        <v>1</v>
      </c>
    </row>
    <row r="642" spans="25:33" x14ac:dyDescent="0.25">
      <c r="Y642" s="9">
        <v>6</v>
      </c>
      <c r="Z642" s="9" t="s">
        <v>960</v>
      </c>
      <c r="AA642" s="9" t="s">
        <v>29</v>
      </c>
      <c r="AB642" s="9" t="s">
        <v>22</v>
      </c>
      <c r="AC642" s="9" t="s">
        <v>22</v>
      </c>
      <c r="AD642" s="9" t="s">
        <v>715</v>
      </c>
      <c r="AE642" s="9">
        <v>0.34081099999999998</v>
      </c>
      <c r="AF642" s="9" t="s">
        <v>19</v>
      </c>
      <c r="AG642" s="9">
        <v>1</v>
      </c>
    </row>
    <row r="643" spans="25:33" x14ac:dyDescent="0.25">
      <c r="Y643" s="9">
        <v>6</v>
      </c>
      <c r="Z643" s="9" t="s">
        <v>24</v>
      </c>
      <c r="AA643" s="9" t="s">
        <v>25</v>
      </c>
      <c r="AB643" s="9"/>
      <c r="AC643" s="9" t="s">
        <v>26</v>
      </c>
      <c r="AD643" s="9" t="s">
        <v>27</v>
      </c>
      <c r="AE643" s="9"/>
      <c r="AF643" s="9"/>
      <c r="AG643" s="9">
        <v>4</v>
      </c>
    </row>
    <row r="644" spans="25:33" x14ac:dyDescent="0.25">
      <c r="Y644" s="10">
        <v>5</v>
      </c>
      <c r="Z644" s="10" t="s">
        <v>961</v>
      </c>
      <c r="AA644" s="10" t="s">
        <v>29</v>
      </c>
      <c r="AB644" s="10" t="s">
        <v>22</v>
      </c>
      <c r="AC644" s="10" t="s">
        <v>22</v>
      </c>
      <c r="AD644" s="10" t="s">
        <v>23</v>
      </c>
      <c r="AE644" s="10">
        <v>0.354238</v>
      </c>
      <c r="AF644" s="10" t="s">
        <v>19</v>
      </c>
      <c r="AG644" s="10">
        <v>1</v>
      </c>
    </row>
    <row r="645" spans="25:33" x14ac:dyDescent="0.25">
      <c r="Y645" s="10">
        <v>5</v>
      </c>
      <c r="Z645" s="10" t="s">
        <v>717</v>
      </c>
      <c r="AA645" s="10" t="s">
        <v>25</v>
      </c>
      <c r="AB645" s="10"/>
      <c r="AC645" s="10" t="s">
        <v>718</v>
      </c>
      <c r="AD645" s="10" t="s">
        <v>335</v>
      </c>
      <c r="AE645" s="10"/>
      <c r="AF645" s="10"/>
      <c r="AG645" s="10">
        <v>34</v>
      </c>
    </row>
    <row r="646" spans="25:33" ht="30" x14ac:dyDescent="0.25">
      <c r="Y646" s="10">
        <v>3</v>
      </c>
      <c r="Z646" s="10" t="s">
        <v>962</v>
      </c>
      <c r="AA646" s="10" t="s">
        <v>25</v>
      </c>
      <c r="AB646" s="12" t="s">
        <v>963</v>
      </c>
      <c r="AC646" s="10" t="s">
        <v>964</v>
      </c>
      <c r="AF646" s="10"/>
      <c r="AG646" s="10">
        <v>2</v>
      </c>
    </row>
    <row r="647" spans="25:33" x14ac:dyDescent="0.25">
      <c r="Y647" s="9">
        <v>4</v>
      </c>
      <c r="Z647" s="9" t="s">
        <v>965</v>
      </c>
      <c r="AA647" s="9" t="s">
        <v>25</v>
      </c>
      <c r="AB647" s="9" t="s">
        <v>239</v>
      </c>
      <c r="AC647" s="9" t="s">
        <v>239</v>
      </c>
      <c r="AD647" s="9"/>
      <c r="AE647" s="9">
        <v>0</v>
      </c>
      <c r="AF647" s="9"/>
      <c r="AG647" s="9">
        <v>1</v>
      </c>
    </row>
    <row r="648" spans="25:33" x14ac:dyDescent="0.25">
      <c r="Y648" s="9">
        <v>4</v>
      </c>
      <c r="Z648" s="9" t="s">
        <v>966</v>
      </c>
      <c r="AA648" s="9" t="s">
        <v>25</v>
      </c>
      <c r="AB648" s="9" t="s">
        <v>967</v>
      </c>
      <c r="AC648" s="9" t="s">
        <v>967</v>
      </c>
      <c r="AD648" s="9"/>
      <c r="AE648" s="9">
        <v>0</v>
      </c>
      <c r="AF648" s="9"/>
      <c r="AG648" s="9">
        <v>1</v>
      </c>
    </row>
    <row r="649" spans="25:33" x14ac:dyDescent="0.25">
      <c r="Y649" s="9">
        <v>4</v>
      </c>
      <c r="Z649" s="9" t="s">
        <v>968</v>
      </c>
      <c r="AA649" s="9" t="s">
        <v>25</v>
      </c>
      <c r="AB649" s="9" t="s">
        <v>390</v>
      </c>
      <c r="AC649" s="9" t="s">
        <v>390</v>
      </c>
      <c r="AD649" s="9"/>
      <c r="AE649" s="9">
        <v>0</v>
      </c>
      <c r="AF649" s="9"/>
      <c r="AG649" s="9">
        <v>1</v>
      </c>
    </row>
    <row r="650" spans="25:33" x14ac:dyDescent="0.25">
      <c r="Y650" s="9">
        <v>4</v>
      </c>
      <c r="Z650" s="9" t="s">
        <v>969</v>
      </c>
      <c r="AA650" s="9" t="s">
        <v>25</v>
      </c>
      <c r="AB650" s="9"/>
      <c r="AC650" s="9" t="s">
        <v>970</v>
      </c>
      <c r="AD650" s="9"/>
      <c r="AE650" s="9">
        <v>0</v>
      </c>
      <c r="AF650" s="9"/>
      <c r="AG650" s="9">
        <v>2</v>
      </c>
    </row>
    <row r="651" spans="25:33" x14ac:dyDescent="0.25">
      <c r="Y651" s="10">
        <v>3</v>
      </c>
      <c r="Z651" s="10" t="s">
        <v>528</v>
      </c>
      <c r="AA651" s="10" t="s">
        <v>25</v>
      </c>
      <c r="AB651" s="10"/>
      <c r="AC651" s="10" t="s">
        <v>529</v>
      </c>
      <c r="AD651" s="10" t="s">
        <v>27</v>
      </c>
      <c r="AE651" s="10"/>
      <c r="AF651" s="10"/>
      <c r="AG651" s="10">
        <v>2</v>
      </c>
    </row>
    <row r="652" spans="25:33" x14ac:dyDescent="0.25">
      <c r="Y652" s="10">
        <v>3</v>
      </c>
      <c r="Z652" s="10" t="s">
        <v>971</v>
      </c>
      <c r="AA652" s="10" t="s">
        <v>25</v>
      </c>
      <c r="AB652" s="10"/>
      <c r="AC652" s="10" t="s">
        <v>527</v>
      </c>
      <c r="AD652" s="10" t="s">
        <v>27</v>
      </c>
      <c r="AE652" s="10"/>
      <c r="AF652" s="10"/>
      <c r="AG652" s="10">
        <v>2</v>
      </c>
    </row>
    <row r="653" spans="25:33" x14ac:dyDescent="0.25">
      <c r="Y653" s="10">
        <v>3</v>
      </c>
      <c r="Z653" s="10" t="s">
        <v>972</v>
      </c>
      <c r="AA653" s="10" t="s">
        <v>35</v>
      </c>
      <c r="AB653" s="10" t="s">
        <v>973</v>
      </c>
      <c r="AC653" s="10" t="s">
        <v>973</v>
      </c>
      <c r="AF653" s="10"/>
      <c r="AG653" s="10">
        <v>2</v>
      </c>
    </row>
    <row r="654" spans="25:33" x14ac:dyDescent="0.25">
      <c r="Y654" s="9">
        <v>4</v>
      </c>
      <c r="Z654" s="9" t="s">
        <v>974</v>
      </c>
      <c r="AA654" s="9" t="s">
        <v>35</v>
      </c>
      <c r="AB654" s="9" t="s">
        <v>975</v>
      </c>
      <c r="AC654" s="9" t="s">
        <v>975</v>
      </c>
      <c r="AD654" s="9" t="s">
        <v>101</v>
      </c>
      <c r="AE654" s="9">
        <v>6.2483900000000002E-2</v>
      </c>
      <c r="AF654" s="9"/>
      <c r="AG654" s="9">
        <v>1</v>
      </c>
    </row>
    <row r="655" spans="25:33" x14ac:dyDescent="0.25">
      <c r="Y655" s="9">
        <v>4</v>
      </c>
      <c r="Z655" s="9" t="s">
        <v>976</v>
      </c>
      <c r="AA655" s="9" t="s">
        <v>25</v>
      </c>
      <c r="AB655" s="9"/>
      <c r="AC655" s="9" t="s">
        <v>977</v>
      </c>
      <c r="AD655" s="9" t="s">
        <v>27</v>
      </c>
      <c r="AE655" s="9"/>
      <c r="AF655" s="9"/>
      <c r="AG655" s="9">
        <v>2</v>
      </c>
    </row>
    <row r="656" spans="25:33" x14ac:dyDescent="0.25">
      <c r="Y656" s="9">
        <v>4</v>
      </c>
      <c r="Z656" s="9" t="s">
        <v>158</v>
      </c>
      <c r="AA656" s="9" t="s">
        <v>25</v>
      </c>
      <c r="AB656" s="9"/>
      <c r="AC656" s="9" t="s">
        <v>159</v>
      </c>
      <c r="AD656" s="9" t="s">
        <v>27</v>
      </c>
      <c r="AE656" s="9"/>
      <c r="AF656" s="9"/>
      <c r="AG656" s="9">
        <v>4</v>
      </c>
    </row>
    <row r="657" spans="25:33" x14ac:dyDescent="0.25">
      <c r="Y657" s="9">
        <v>4</v>
      </c>
      <c r="Z657" s="9" t="s">
        <v>978</v>
      </c>
      <c r="AA657" s="9" t="s">
        <v>25</v>
      </c>
      <c r="AB657" s="9"/>
      <c r="AC657" s="9" t="s">
        <v>631</v>
      </c>
      <c r="AD657" s="9" t="s">
        <v>101</v>
      </c>
      <c r="AE657" s="9"/>
      <c r="AF657" s="9"/>
      <c r="AG657" s="9">
        <v>8</v>
      </c>
    </row>
    <row r="658" spans="25:33" x14ac:dyDescent="0.25">
      <c r="Y658" s="10">
        <v>3</v>
      </c>
      <c r="Z658" s="10" t="s">
        <v>546</v>
      </c>
      <c r="AA658" s="10" t="s">
        <v>78</v>
      </c>
      <c r="AB658" s="10"/>
      <c r="AC658" s="10" t="s">
        <v>547</v>
      </c>
      <c r="AF658" s="10" t="s">
        <v>150</v>
      </c>
      <c r="AG658" s="10">
        <v>2</v>
      </c>
    </row>
    <row r="659" spans="25:33" x14ac:dyDescent="0.25">
      <c r="Y659" s="9">
        <v>4</v>
      </c>
      <c r="Z659" s="9" t="s">
        <v>548</v>
      </c>
      <c r="AA659" s="9" t="s">
        <v>29</v>
      </c>
      <c r="AB659" s="9"/>
      <c r="AC659" s="9" t="s">
        <v>549</v>
      </c>
      <c r="AD659" s="9" t="s">
        <v>550</v>
      </c>
      <c r="AE659" s="9">
        <v>4.21681E-2</v>
      </c>
      <c r="AF659" s="9" t="s">
        <v>150</v>
      </c>
      <c r="AG659" s="9">
        <v>1</v>
      </c>
    </row>
    <row r="660" spans="25:33" x14ac:dyDescent="0.25">
      <c r="Y660" s="9">
        <v>4</v>
      </c>
      <c r="Z660" s="9" t="s">
        <v>551</v>
      </c>
      <c r="AA660" s="9" t="s">
        <v>29</v>
      </c>
      <c r="AB660" s="9" t="s">
        <v>552</v>
      </c>
      <c r="AC660" s="9" t="s">
        <v>552</v>
      </c>
      <c r="AD660" s="9" t="s">
        <v>550</v>
      </c>
      <c r="AE660" s="9">
        <v>6.0163700000000001E-2</v>
      </c>
      <c r="AF660" s="9" t="s">
        <v>150</v>
      </c>
      <c r="AG660" s="9">
        <v>1</v>
      </c>
    </row>
    <row r="661" spans="25:33" ht="30" x14ac:dyDescent="0.25">
      <c r="Y661" s="9">
        <v>4</v>
      </c>
      <c r="Z661" s="9" t="s">
        <v>553</v>
      </c>
      <c r="AA661" s="9" t="s">
        <v>29</v>
      </c>
      <c r="AB661" s="11" t="s">
        <v>554</v>
      </c>
      <c r="AC661" s="9" t="s">
        <v>555</v>
      </c>
      <c r="AF661" s="9" t="s">
        <v>150</v>
      </c>
      <c r="AG661" s="9">
        <v>1</v>
      </c>
    </row>
    <row r="662" spans="25:33" x14ac:dyDescent="0.25">
      <c r="Y662" s="10">
        <v>5</v>
      </c>
      <c r="Z662" s="10" t="s">
        <v>556</v>
      </c>
      <c r="AA662" s="10" t="s">
        <v>29</v>
      </c>
      <c r="AB662" s="10" t="s">
        <v>557</v>
      </c>
      <c r="AC662" s="10" t="s">
        <v>558</v>
      </c>
      <c r="AF662" s="10" t="s">
        <v>150</v>
      </c>
      <c r="AG662" s="10">
        <v>1</v>
      </c>
    </row>
    <row r="663" spans="25:33" x14ac:dyDescent="0.25">
      <c r="Y663" s="9">
        <v>6</v>
      </c>
      <c r="Z663" s="9" t="s">
        <v>559</v>
      </c>
      <c r="AA663" s="9" t="s">
        <v>29</v>
      </c>
      <c r="AB663" s="9" t="s">
        <v>560</v>
      </c>
      <c r="AC663" s="9" t="s">
        <v>561</v>
      </c>
      <c r="AD663" s="9" t="s">
        <v>562</v>
      </c>
      <c r="AE663" s="9">
        <v>1.44726E-2</v>
      </c>
      <c r="AF663" s="9" t="s">
        <v>150</v>
      </c>
      <c r="AG663" s="9">
        <v>1</v>
      </c>
    </row>
    <row r="664" spans="25:33" x14ac:dyDescent="0.25">
      <c r="Y664" s="9">
        <v>6</v>
      </c>
      <c r="Z664" s="9" t="s">
        <v>563</v>
      </c>
      <c r="AA664" s="9" t="s">
        <v>29</v>
      </c>
      <c r="AB664" s="9" t="s">
        <v>564</v>
      </c>
      <c r="AC664" s="9" t="s">
        <v>198</v>
      </c>
      <c r="AD664" s="9" t="s">
        <v>562</v>
      </c>
      <c r="AE664" s="9">
        <v>8.3433199999999996E-3</v>
      </c>
      <c r="AF664" s="9" t="s">
        <v>150</v>
      </c>
      <c r="AG664" s="9">
        <v>1</v>
      </c>
    </row>
    <row r="665" spans="25:33" x14ac:dyDescent="0.25">
      <c r="Y665" s="10">
        <v>5</v>
      </c>
      <c r="Z665" s="10" t="s">
        <v>565</v>
      </c>
      <c r="AA665" s="10" t="s">
        <v>25</v>
      </c>
      <c r="AB665" s="10"/>
      <c r="AC665" s="10" t="s">
        <v>566</v>
      </c>
      <c r="AD665" s="10" t="s">
        <v>567</v>
      </c>
      <c r="AE665" s="10">
        <v>2.4548E-3</v>
      </c>
      <c r="AF665" s="10"/>
      <c r="AG665" s="10">
        <v>1</v>
      </c>
    </row>
    <row r="666" spans="25:33" x14ac:dyDescent="0.25">
      <c r="Y666" s="9">
        <v>4</v>
      </c>
      <c r="Z666" s="9" t="s">
        <v>568</v>
      </c>
      <c r="AA666" s="9" t="s">
        <v>25</v>
      </c>
      <c r="AB666" s="9" t="s">
        <v>569</v>
      </c>
      <c r="AC666" s="9" t="s">
        <v>569</v>
      </c>
      <c r="AD666" s="9" t="s">
        <v>499</v>
      </c>
      <c r="AE666" s="9">
        <v>0</v>
      </c>
      <c r="AF666" s="9"/>
      <c r="AG666" s="9">
        <v>1</v>
      </c>
    </row>
    <row r="667" spans="25:33" x14ac:dyDescent="0.25">
      <c r="Y667" s="9">
        <v>4</v>
      </c>
      <c r="Z667" s="9" t="s">
        <v>570</v>
      </c>
      <c r="AA667" s="9" t="s">
        <v>29</v>
      </c>
      <c r="AB667" s="9"/>
      <c r="AC667" s="9" t="s">
        <v>571</v>
      </c>
      <c r="AD667" s="9" t="s">
        <v>572</v>
      </c>
      <c r="AE667" s="9">
        <v>5.0590400000000005E-4</v>
      </c>
      <c r="AF667" s="9" t="s">
        <v>150</v>
      </c>
      <c r="AG667" s="9">
        <v>2</v>
      </c>
    </row>
    <row r="668" spans="25:33" x14ac:dyDescent="0.25">
      <c r="Y668" s="10">
        <v>3</v>
      </c>
      <c r="Z668" s="10" t="s">
        <v>646</v>
      </c>
      <c r="AA668" s="10" t="s">
        <v>25</v>
      </c>
      <c r="AB668" s="10" t="s">
        <v>647</v>
      </c>
      <c r="AC668" s="10" t="s">
        <v>647</v>
      </c>
      <c r="AD668" s="10"/>
      <c r="AE668" s="10">
        <v>0</v>
      </c>
      <c r="AF668" s="10"/>
      <c r="AG668" s="10">
        <v>2</v>
      </c>
    </row>
    <row r="669" spans="25:33" x14ac:dyDescent="0.25">
      <c r="Y669" s="10">
        <v>3</v>
      </c>
      <c r="Z669" s="10" t="s">
        <v>979</v>
      </c>
      <c r="AA669" s="10" t="s">
        <v>25</v>
      </c>
      <c r="AB669" s="10" t="s">
        <v>980</v>
      </c>
      <c r="AC669" s="10" t="s">
        <v>981</v>
      </c>
      <c r="AD669" s="10" t="s">
        <v>700</v>
      </c>
      <c r="AE669" s="10">
        <v>3.6290000000000003E-2</v>
      </c>
      <c r="AF669" s="10"/>
      <c r="AG669" s="10">
        <v>2</v>
      </c>
    </row>
    <row r="670" spans="25:33" ht="30" x14ac:dyDescent="0.25">
      <c r="Y670" s="10">
        <v>3</v>
      </c>
      <c r="Z670" s="10" t="s">
        <v>655</v>
      </c>
      <c r="AA670" s="10" t="s">
        <v>29</v>
      </c>
      <c r="AB670" s="12" t="s">
        <v>656</v>
      </c>
      <c r="AC670" s="10" t="s">
        <v>657</v>
      </c>
      <c r="AD670" s="10" t="s">
        <v>658</v>
      </c>
      <c r="AE670" s="10">
        <v>1.2963000000000001E-2</v>
      </c>
      <c r="AF670" s="10"/>
      <c r="AG670" s="10">
        <v>2</v>
      </c>
    </row>
    <row r="671" spans="25:33" x14ac:dyDescent="0.25">
      <c r="Y671" s="10">
        <v>3</v>
      </c>
      <c r="Z671" s="10" t="s">
        <v>674</v>
      </c>
      <c r="AA671" s="10" t="s">
        <v>25</v>
      </c>
      <c r="AB671" s="10" t="s">
        <v>675</v>
      </c>
      <c r="AC671" s="10" t="s">
        <v>675</v>
      </c>
      <c r="AD671" s="10" t="s">
        <v>27</v>
      </c>
      <c r="AE671" s="10"/>
      <c r="AF671" s="10"/>
      <c r="AG671" s="10">
        <v>4</v>
      </c>
    </row>
    <row r="672" spans="25:33" x14ac:dyDescent="0.25">
      <c r="Y672" s="10">
        <v>3</v>
      </c>
      <c r="Z672" s="10" t="s">
        <v>982</v>
      </c>
      <c r="AA672" s="10" t="s">
        <v>25</v>
      </c>
      <c r="AB672" s="10"/>
      <c r="AC672" s="10" t="s">
        <v>9</v>
      </c>
      <c r="AD672" s="10" t="s">
        <v>27</v>
      </c>
      <c r="AE672" s="10"/>
      <c r="AF672" s="10"/>
      <c r="AG672" s="10">
        <v>4</v>
      </c>
    </row>
    <row r="673" spans="25:33" x14ac:dyDescent="0.25">
      <c r="Y673" s="10">
        <v>3</v>
      </c>
      <c r="Z673" s="10" t="s">
        <v>983</v>
      </c>
      <c r="AA673" s="10" t="s">
        <v>25</v>
      </c>
      <c r="AB673" s="10"/>
      <c r="AC673" s="10" t="s">
        <v>984</v>
      </c>
      <c r="AD673" s="10" t="s">
        <v>678</v>
      </c>
      <c r="AE673" s="10">
        <v>1.36816E-3</v>
      </c>
      <c r="AF673" s="10" t="s">
        <v>165</v>
      </c>
      <c r="AG673" s="10">
        <v>4</v>
      </c>
    </row>
    <row r="674" spans="25:33" x14ac:dyDescent="0.25">
      <c r="Y674" s="10">
        <v>3</v>
      </c>
      <c r="Z674" s="10" t="s">
        <v>985</v>
      </c>
      <c r="AA674" s="10" t="s">
        <v>25</v>
      </c>
      <c r="AB674" s="10"/>
      <c r="AC674" s="10" t="s">
        <v>986</v>
      </c>
      <c r="AD674" s="10" t="s">
        <v>27</v>
      </c>
      <c r="AE674" s="10"/>
      <c r="AF674" s="10"/>
      <c r="AG674" s="10">
        <v>4</v>
      </c>
    </row>
    <row r="675" spans="25:33" x14ac:dyDescent="0.25">
      <c r="Y675" s="10">
        <v>3</v>
      </c>
      <c r="Z675" s="10" t="s">
        <v>987</v>
      </c>
      <c r="AA675" s="10" t="s">
        <v>54</v>
      </c>
      <c r="AB675" s="10" t="s">
        <v>988</v>
      </c>
      <c r="AC675" s="10" t="s">
        <v>989</v>
      </c>
      <c r="AD675" s="10" t="s">
        <v>391</v>
      </c>
      <c r="AE675" s="10">
        <v>5.1902799999999999E-2</v>
      </c>
      <c r="AF675" s="10" t="s">
        <v>165</v>
      </c>
      <c r="AG675" s="10">
        <v>5</v>
      </c>
    </row>
    <row r="676" spans="25:33" ht="30" x14ac:dyDescent="0.25">
      <c r="Y676" s="10">
        <v>3</v>
      </c>
      <c r="Z676" s="10" t="s">
        <v>990</v>
      </c>
      <c r="AA676" s="10" t="s">
        <v>574</v>
      </c>
      <c r="AB676" s="12" t="s">
        <v>745</v>
      </c>
      <c r="AC676" s="10" t="s">
        <v>746</v>
      </c>
      <c r="AF676" s="10" t="s">
        <v>218</v>
      </c>
      <c r="AG676" s="10">
        <v>6</v>
      </c>
    </row>
    <row r="677" spans="25:33" x14ac:dyDescent="0.25">
      <c r="Y677" s="9">
        <v>4</v>
      </c>
      <c r="Z677" s="9" t="s">
        <v>991</v>
      </c>
      <c r="AA677" s="9" t="s">
        <v>17</v>
      </c>
      <c r="AB677" s="9"/>
      <c r="AC677" s="9" t="s">
        <v>992</v>
      </c>
      <c r="AD677" s="9" t="s">
        <v>294</v>
      </c>
      <c r="AE677" s="9">
        <v>6.5892299999999995E-4</v>
      </c>
      <c r="AF677" s="9" t="s">
        <v>289</v>
      </c>
      <c r="AG677" s="9">
        <v>1</v>
      </c>
    </row>
    <row r="678" spans="25:33" x14ac:dyDescent="0.25">
      <c r="Y678" s="9">
        <v>4</v>
      </c>
      <c r="Z678" s="9" t="s">
        <v>747</v>
      </c>
      <c r="AA678" s="9" t="s">
        <v>17</v>
      </c>
      <c r="AB678" s="9"/>
      <c r="AC678" s="9" t="s">
        <v>748</v>
      </c>
      <c r="AD678" s="9" t="s">
        <v>335</v>
      </c>
      <c r="AE678" s="9">
        <v>5.9449100000000003E-3</v>
      </c>
      <c r="AF678" s="9" t="s">
        <v>150</v>
      </c>
      <c r="AG678" s="9">
        <v>1</v>
      </c>
    </row>
    <row r="679" spans="25:33" x14ac:dyDescent="0.25">
      <c r="Y679" s="9">
        <v>4</v>
      </c>
      <c r="Z679" s="9" t="s">
        <v>756</v>
      </c>
      <c r="AA679" s="9" t="s">
        <v>17</v>
      </c>
      <c r="AB679" s="9"/>
      <c r="AC679" s="9" t="s">
        <v>757</v>
      </c>
      <c r="AF679" s="9" t="s">
        <v>218</v>
      </c>
      <c r="AG679" s="9">
        <v>1</v>
      </c>
    </row>
    <row r="680" spans="25:33" x14ac:dyDescent="0.25">
      <c r="Y680" s="10">
        <v>5</v>
      </c>
      <c r="Z680" s="10" t="s">
        <v>758</v>
      </c>
      <c r="AA680" s="10" t="s">
        <v>17</v>
      </c>
      <c r="AB680" s="10"/>
      <c r="AC680" s="10" t="s">
        <v>759</v>
      </c>
      <c r="AD680" s="10" t="s">
        <v>594</v>
      </c>
      <c r="AE680" s="13">
        <v>9.22966E-5</v>
      </c>
      <c r="AF680" s="10" t="s">
        <v>165</v>
      </c>
      <c r="AG680" s="10">
        <v>1</v>
      </c>
    </row>
    <row r="681" spans="25:33" x14ac:dyDescent="0.25">
      <c r="Y681" s="10">
        <v>5</v>
      </c>
      <c r="Z681" s="10" t="s">
        <v>760</v>
      </c>
      <c r="AA681" s="10" t="s">
        <v>17</v>
      </c>
      <c r="AB681" s="10"/>
      <c r="AC681" s="10" t="s">
        <v>309</v>
      </c>
      <c r="AD681" s="10" t="s">
        <v>101</v>
      </c>
      <c r="AE681" s="10">
        <v>4.9734100000000002E-3</v>
      </c>
      <c r="AF681" s="10" t="s">
        <v>150</v>
      </c>
      <c r="AG681" s="10">
        <v>1</v>
      </c>
    </row>
    <row r="682" spans="25:33" x14ac:dyDescent="0.25">
      <c r="Y682" s="9">
        <v>4</v>
      </c>
      <c r="Z682" s="9" t="s">
        <v>749</v>
      </c>
      <c r="AA682" s="9" t="s">
        <v>17</v>
      </c>
      <c r="AB682" s="9"/>
      <c r="AC682" s="9" t="s">
        <v>750</v>
      </c>
      <c r="AD682" s="9" t="s">
        <v>751</v>
      </c>
      <c r="AE682" s="9">
        <v>2.5520899999999999E-3</v>
      </c>
      <c r="AF682" s="9" t="s">
        <v>150</v>
      </c>
      <c r="AG682" s="9">
        <v>1</v>
      </c>
    </row>
    <row r="683" spans="25:33" x14ac:dyDescent="0.25">
      <c r="Y683" s="9">
        <v>4</v>
      </c>
      <c r="Z683" s="9" t="s">
        <v>261</v>
      </c>
      <c r="AA683" s="9" t="s">
        <v>25</v>
      </c>
      <c r="AB683" s="9"/>
      <c r="AC683" s="9" t="s">
        <v>9</v>
      </c>
      <c r="AD683" s="9" t="s">
        <v>27</v>
      </c>
      <c r="AE683" s="9"/>
      <c r="AF683" s="9"/>
      <c r="AG683" s="9">
        <v>2</v>
      </c>
    </row>
    <row r="684" spans="25:33" x14ac:dyDescent="0.25">
      <c r="Y684" s="9">
        <v>4</v>
      </c>
      <c r="Z684" s="9" t="s">
        <v>761</v>
      </c>
      <c r="AA684" s="9" t="s">
        <v>17</v>
      </c>
      <c r="AB684" s="9"/>
      <c r="AC684" s="9" t="s">
        <v>762</v>
      </c>
      <c r="AD684" s="9" t="s">
        <v>763</v>
      </c>
      <c r="AE684" s="9">
        <v>7.8660000000000004E-4</v>
      </c>
      <c r="AF684" s="9" t="s">
        <v>165</v>
      </c>
      <c r="AG684" s="9">
        <v>2</v>
      </c>
    </row>
    <row r="685" spans="25:33" x14ac:dyDescent="0.25">
      <c r="Y685" s="10">
        <v>3</v>
      </c>
      <c r="Z685" s="10" t="s">
        <v>253</v>
      </c>
      <c r="AA685" s="10" t="s">
        <v>25</v>
      </c>
      <c r="AB685" s="10" t="s">
        <v>254</v>
      </c>
      <c r="AC685" s="10" t="s">
        <v>254</v>
      </c>
      <c r="AD685" s="10" t="s">
        <v>27</v>
      </c>
      <c r="AE685" s="10"/>
      <c r="AF685" s="10"/>
      <c r="AG685" s="10">
        <v>8</v>
      </c>
    </row>
    <row r="686" spans="25:33" x14ac:dyDescent="0.25">
      <c r="Y686" s="10">
        <v>3</v>
      </c>
      <c r="Z686" s="10" t="s">
        <v>993</v>
      </c>
      <c r="AA686" s="10" t="s">
        <v>25</v>
      </c>
      <c r="AB686" s="10"/>
      <c r="AC686" s="10" t="s">
        <v>256</v>
      </c>
      <c r="AD686" s="10" t="s">
        <v>27</v>
      </c>
      <c r="AE686" s="10"/>
      <c r="AF686" s="10"/>
      <c r="AG686" s="10">
        <v>8</v>
      </c>
    </row>
    <row r="687" spans="25:33" x14ac:dyDescent="0.25">
      <c r="Y687" s="10">
        <v>3</v>
      </c>
      <c r="Z687" s="10" t="s">
        <v>8</v>
      </c>
      <c r="AA687" s="10" t="s">
        <v>25</v>
      </c>
      <c r="AB687" s="10"/>
      <c r="AC687" s="10" t="s">
        <v>9</v>
      </c>
      <c r="AD687" s="10" t="s">
        <v>27</v>
      </c>
      <c r="AE687" s="10"/>
      <c r="AF687" s="10"/>
      <c r="AG687" s="10">
        <v>64</v>
      </c>
    </row>
    <row r="688" spans="25:33" x14ac:dyDescent="0.25">
      <c r="Y688" s="9">
        <v>2</v>
      </c>
      <c r="Z688" s="9" t="s">
        <v>994</v>
      </c>
      <c r="AA688" s="9" t="s">
        <v>70</v>
      </c>
      <c r="AB688" s="9"/>
      <c r="AC688" s="9" t="s">
        <v>995</v>
      </c>
      <c r="AF688" s="9" t="s">
        <v>150</v>
      </c>
      <c r="AG688" s="9">
        <v>1</v>
      </c>
    </row>
    <row r="689" spans="25:33" ht="45" x14ac:dyDescent="0.25">
      <c r="Y689" s="10">
        <v>3</v>
      </c>
      <c r="Z689" s="10" t="s">
        <v>996</v>
      </c>
      <c r="AA689" s="10" t="s">
        <v>78</v>
      </c>
      <c r="AB689" s="12" t="s">
        <v>997</v>
      </c>
      <c r="AC689" s="10" t="s">
        <v>998</v>
      </c>
      <c r="AD689" s="10" t="s">
        <v>486</v>
      </c>
      <c r="AE689" s="10">
        <v>0.28760200000000002</v>
      </c>
      <c r="AF689" s="10"/>
      <c r="AG689" s="10">
        <v>1</v>
      </c>
    </row>
    <row r="690" spans="25:33" x14ac:dyDescent="0.25">
      <c r="Y690" s="9">
        <v>2</v>
      </c>
      <c r="Z690" s="9" t="s">
        <v>999</v>
      </c>
      <c r="AA690" s="9" t="s">
        <v>227</v>
      </c>
      <c r="AB690" s="9" t="s">
        <v>1000</v>
      </c>
      <c r="AC690" s="9" t="s">
        <v>1000</v>
      </c>
      <c r="AD690" s="9" t="s">
        <v>335</v>
      </c>
      <c r="AE690" s="9">
        <v>9.6437599999999995E-3</v>
      </c>
      <c r="AF690" s="9" t="s">
        <v>102</v>
      </c>
      <c r="AG690" s="9">
        <v>1</v>
      </c>
    </row>
    <row r="691" spans="25:33" x14ac:dyDescent="0.25">
      <c r="Y691" s="9">
        <v>2</v>
      </c>
      <c r="Z691" s="9" t="s">
        <v>1001</v>
      </c>
      <c r="AA691" s="9" t="s">
        <v>227</v>
      </c>
      <c r="AB691" s="9" t="s">
        <v>1000</v>
      </c>
      <c r="AC691" s="9" t="s">
        <v>1000</v>
      </c>
      <c r="AD691" s="9" t="s">
        <v>335</v>
      </c>
      <c r="AE691" s="9">
        <v>1.05267E-2</v>
      </c>
      <c r="AF691" s="9" t="s">
        <v>102</v>
      </c>
      <c r="AG691" s="9">
        <v>1</v>
      </c>
    </row>
    <row r="692" spans="25:33" x14ac:dyDescent="0.25">
      <c r="Y692" s="9">
        <v>2</v>
      </c>
      <c r="Z692" s="9" t="s">
        <v>1002</v>
      </c>
      <c r="AA692" s="9" t="s">
        <v>35</v>
      </c>
      <c r="AB692" s="9" t="s">
        <v>1003</v>
      </c>
      <c r="AC692" s="9" t="s">
        <v>1004</v>
      </c>
      <c r="AF692" s="9"/>
      <c r="AG692" s="9">
        <v>1</v>
      </c>
    </row>
    <row r="693" spans="25:33" x14ac:dyDescent="0.25">
      <c r="Y693" s="10">
        <v>3</v>
      </c>
      <c r="Z693" s="10" t="s">
        <v>1005</v>
      </c>
      <c r="AA693" s="10" t="s">
        <v>25</v>
      </c>
      <c r="AB693" s="10"/>
      <c r="AC693" s="10" t="s">
        <v>1006</v>
      </c>
      <c r="AD693" s="10" t="s">
        <v>27</v>
      </c>
      <c r="AE693" s="10"/>
      <c r="AF693" s="10"/>
      <c r="AG693" s="10">
        <v>1</v>
      </c>
    </row>
    <row r="694" spans="25:33" x14ac:dyDescent="0.25">
      <c r="Y694" s="10">
        <v>3</v>
      </c>
      <c r="Z694" s="10" t="s">
        <v>1007</v>
      </c>
      <c r="AA694" s="10" t="s">
        <v>25</v>
      </c>
      <c r="AB694" s="10"/>
      <c r="AC694" s="10" t="s">
        <v>1008</v>
      </c>
      <c r="AD694" s="10" t="s">
        <v>27</v>
      </c>
      <c r="AE694" s="10"/>
      <c r="AF694" s="10"/>
      <c r="AG694" s="10">
        <v>1</v>
      </c>
    </row>
    <row r="695" spans="25:33" x14ac:dyDescent="0.25">
      <c r="Y695" s="10">
        <v>3</v>
      </c>
      <c r="Z695" s="10" t="s">
        <v>1009</v>
      </c>
      <c r="AA695" s="10" t="s">
        <v>25</v>
      </c>
      <c r="AB695" s="10" t="s">
        <v>1010</v>
      </c>
      <c r="AC695" s="10" t="s">
        <v>1010</v>
      </c>
      <c r="AD695" s="10"/>
      <c r="AE695" s="10">
        <v>0</v>
      </c>
      <c r="AF695" s="10"/>
      <c r="AG695" s="10">
        <v>1</v>
      </c>
    </row>
    <row r="696" spans="25:33" ht="30" x14ac:dyDescent="0.25">
      <c r="Y696" s="10">
        <v>3</v>
      </c>
      <c r="Z696" s="10" t="s">
        <v>1011</v>
      </c>
      <c r="AA696" s="10" t="s">
        <v>25</v>
      </c>
      <c r="AB696" s="12" t="s">
        <v>1012</v>
      </c>
      <c r="AC696" s="10" t="s">
        <v>1013</v>
      </c>
      <c r="AD696" s="10" t="s">
        <v>27</v>
      </c>
      <c r="AE696" s="10">
        <v>1.7323099999999999E-3</v>
      </c>
      <c r="AF696" s="10"/>
      <c r="AG696" s="10">
        <v>1</v>
      </c>
    </row>
    <row r="697" spans="25:33" x14ac:dyDescent="0.25">
      <c r="Y697" s="10">
        <v>3</v>
      </c>
      <c r="Z697" s="10" t="s">
        <v>1014</v>
      </c>
      <c r="AA697" s="10" t="s">
        <v>35</v>
      </c>
      <c r="AB697" s="10" t="s">
        <v>1015</v>
      </c>
      <c r="AC697" s="10" t="s">
        <v>1016</v>
      </c>
      <c r="AF697" s="10"/>
      <c r="AG697" s="10">
        <v>1</v>
      </c>
    </row>
    <row r="698" spans="25:33" x14ac:dyDescent="0.25">
      <c r="Y698" s="9">
        <v>4</v>
      </c>
      <c r="Z698" s="9" t="s">
        <v>1017</v>
      </c>
      <c r="AA698" s="9" t="s">
        <v>35</v>
      </c>
      <c r="AB698" s="9"/>
      <c r="AC698" s="9" t="s">
        <v>1018</v>
      </c>
      <c r="AF698" s="9"/>
      <c r="AG698" s="9">
        <v>1</v>
      </c>
    </row>
    <row r="699" spans="25:33" x14ac:dyDescent="0.25">
      <c r="Y699" s="10">
        <v>5</v>
      </c>
      <c r="Z699" s="10" t="s">
        <v>1019</v>
      </c>
      <c r="AA699" s="10" t="s">
        <v>35</v>
      </c>
      <c r="AB699" s="10" t="s">
        <v>1020</v>
      </c>
      <c r="AC699" s="10" t="s">
        <v>1021</v>
      </c>
      <c r="AD699" s="10" t="s">
        <v>45</v>
      </c>
      <c r="AE699" s="10">
        <v>6.0064999999999997E-3</v>
      </c>
      <c r="AF699" s="10"/>
      <c r="AG699" s="10">
        <v>1</v>
      </c>
    </row>
    <row r="700" spans="25:33" x14ac:dyDescent="0.25">
      <c r="Y700" s="10">
        <v>5</v>
      </c>
      <c r="Z700" s="10" t="s">
        <v>49</v>
      </c>
      <c r="AA700" s="10" t="s">
        <v>25</v>
      </c>
      <c r="AB700" s="10" t="s">
        <v>50</v>
      </c>
      <c r="AC700" s="10" t="s">
        <v>50</v>
      </c>
      <c r="AD700" s="10" t="s">
        <v>27</v>
      </c>
      <c r="AE700" s="10"/>
      <c r="AF700" s="10"/>
      <c r="AG700" s="10">
        <v>3</v>
      </c>
    </row>
    <row r="701" spans="25:33" x14ac:dyDescent="0.25">
      <c r="Y701" s="10">
        <v>5</v>
      </c>
      <c r="Z701" s="10" t="s">
        <v>51</v>
      </c>
      <c r="AA701" s="10" t="s">
        <v>25</v>
      </c>
      <c r="AB701" s="10" t="s">
        <v>52</v>
      </c>
      <c r="AC701" s="10" t="s">
        <v>52</v>
      </c>
      <c r="AD701" s="10" t="s">
        <v>27</v>
      </c>
      <c r="AE701" s="10"/>
      <c r="AF701" s="10"/>
      <c r="AG701" s="10">
        <v>4</v>
      </c>
    </row>
    <row r="702" spans="25:33" x14ac:dyDescent="0.25">
      <c r="Y702" s="9">
        <v>4</v>
      </c>
      <c r="Z702" s="9" t="s">
        <v>1022</v>
      </c>
      <c r="AA702" s="9" t="s">
        <v>35</v>
      </c>
      <c r="AB702" s="9"/>
      <c r="AC702" s="9" t="s">
        <v>1023</v>
      </c>
      <c r="AF702" s="9"/>
      <c r="AG702" s="9">
        <v>1</v>
      </c>
    </row>
    <row r="703" spans="25:33" x14ac:dyDescent="0.25">
      <c r="Y703" s="10">
        <v>5</v>
      </c>
      <c r="Z703" s="10" t="s">
        <v>1024</v>
      </c>
      <c r="AA703" s="10" t="s">
        <v>35</v>
      </c>
      <c r="AB703" s="10"/>
      <c r="AC703" s="10" t="s">
        <v>1025</v>
      </c>
      <c r="AD703" s="10" t="s">
        <v>1026</v>
      </c>
      <c r="AE703" s="10">
        <v>0</v>
      </c>
      <c r="AF703" s="10"/>
      <c r="AG703" s="10">
        <v>1</v>
      </c>
    </row>
    <row r="704" spans="25:33" x14ac:dyDescent="0.25">
      <c r="Y704" s="10">
        <v>5</v>
      </c>
      <c r="Z704" s="10" t="s">
        <v>318</v>
      </c>
      <c r="AA704" s="10" t="s">
        <v>25</v>
      </c>
      <c r="AB704" s="10"/>
      <c r="AC704" s="10" t="s">
        <v>62</v>
      </c>
      <c r="AD704" s="10" t="s">
        <v>27</v>
      </c>
      <c r="AE704" s="10"/>
      <c r="AF704" s="10"/>
      <c r="AG704" s="10">
        <v>4</v>
      </c>
    </row>
    <row r="705" spans="25:33" x14ac:dyDescent="0.25">
      <c r="Y705" s="9">
        <v>4</v>
      </c>
      <c r="Z705" s="9" t="s">
        <v>1027</v>
      </c>
      <c r="AA705" s="9" t="s">
        <v>35</v>
      </c>
      <c r="AB705" s="9"/>
      <c r="AC705" s="9" t="s">
        <v>1028</v>
      </c>
      <c r="AF705" s="9"/>
      <c r="AG705" s="9">
        <v>1</v>
      </c>
    </row>
    <row r="706" spans="25:33" x14ac:dyDescent="0.25">
      <c r="Y706" s="10">
        <v>5</v>
      </c>
      <c r="Z706" s="10" t="s">
        <v>1029</v>
      </c>
      <c r="AA706" s="10" t="s">
        <v>35</v>
      </c>
      <c r="AB706" s="10"/>
      <c r="AC706" s="10" t="s">
        <v>1030</v>
      </c>
      <c r="AD706" s="10" t="s">
        <v>80</v>
      </c>
      <c r="AE706" s="10">
        <v>0.56276899999999996</v>
      </c>
      <c r="AF706" s="10"/>
      <c r="AG706" s="10">
        <v>1</v>
      </c>
    </row>
    <row r="707" spans="25:33" x14ac:dyDescent="0.25">
      <c r="Y707" s="10">
        <v>5</v>
      </c>
      <c r="Z707" s="10" t="s">
        <v>84</v>
      </c>
      <c r="AA707" s="10" t="s">
        <v>25</v>
      </c>
      <c r="AB707" s="10" t="s">
        <v>50</v>
      </c>
      <c r="AC707" s="10" t="s">
        <v>50</v>
      </c>
      <c r="AD707" s="10" t="s">
        <v>27</v>
      </c>
      <c r="AE707" s="10"/>
      <c r="AF707" s="10"/>
      <c r="AG707" s="10">
        <v>6</v>
      </c>
    </row>
    <row r="708" spans="25:33" x14ac:dyDescent="0.25">
      <c r="Y708" s="9">
        <v>4</v>
      </c>
      <c r="Z708" s="9" t="s">
        <v>1031</v>
      </c>
      <c r="AA708" s="9" t="s">
        <v>35</v>
      </c>
      <c r="AB708" s="9"/>
      <c r="AC708" s="9" t="s">
        <v>1018</v>
      </c>
      <c r="AF708" s="9"/>
      <c r="AG708" s="9">
        <v>1</v>
      </c>
    </row>
    <row r="709" spans="25:33" x14ac:dyDescent="0.25">
      <c r="Y709" s="10">
        <v>5</v>
      </c>
      <c r="Z709" s="10" t="s">
        <v>1032</v>
      </c>
      <c r="AA709" s="10" t="s">
        <v>35</v>
      </c>
      <c r="AB709" s="10" t="s">
        <v>1020</v>
      </c>
      <c r="AC709" s="10" t="s">
        <v>1021</v>
      </c>
      <c r="AD709" s="10" t="s">
        <v>45</v>
      </c>
      <c r="AE709" s="10">
        <v>6.6631900000000003E-3</v>
      </c>
      <c r="AF709" s="10"/>
      <c r="AG709" s="10">
        <v>1</v>
      </c>
    </row>
    <row r="710" spans="25:33" x14ac:dyDescent="0.25">
      <c r="Y710" s="10">
        <v>5</v>
      </c>
      <c r="Z710" s="10" t="s">
        <v>49</v>
      </c>
      <c r="AA710" s="10" t="s">
        <v>25</v>
      </c>
      <c r="AB710" s="10" t="s">
        <v>50</v>
      </c>
      <c r="AC710" s="10" t="s">
        <v>50</v>
      </c>
      <c r="AD710" s="10" t="s">
        <v>27</v>
      </c>
      <c r="AE710" s="10"/>
      <c r="AF710" s="10"/>
      <c r="AG710" s="10">
        <v>3</v>
      </c>
    </row>
    <row r="711" spans="25:33" x14ac:dyDescent="0.25">
      <c r="Y711" s="10">
        <v>3</v>
      </c>
      <c r="Z711" s="10" t="s">
        <v>1033</v>
      </c>
      <c r="AA711" s="10" t="s">
        <v>35</v>
      </c>
      <c r="AB711" s="10" t="s">
        <v>1034</v>
      </c>
      <c r="AC711" s="10" t="s">
        <v>1034</v>
      </c>
      <c r="AD711" s="10" t="s">
        <v>1035</v>
      </c>
      <c r="AE711" s="10">
        <v>0.15964800000000001</v>
      </c>
      <c r="AF711" s="10"/>
      <c r="AG711" s="10">
        <v>1</v>
      </c>
    </row>
    <row r="712" spans="25:33" x14ac:dyDescent="0.25">
      <c r="Y712" s="10">
        <v>3</v>
      </c>
      <c r="Z712" s="10" t="s">
        <v>1036</v>
      </c>
      <c r="AA712" s="10" t="s">
        <v>25</v>
      </c>
      <c r="AB712" s="10" t="s">
        <v>1037</v>
      </c>
      <c r="AC712" s="10" t="s">
        <v>1037</v>
      </c>
      <c r="AF712" s="10"/>
      <c r="AG712" s="10">
        <v>1</v>
      </c>
    </row>
    <row r="713" spans="25:33" x14ac:dyDescent="0.25">
      <c r="Y713" s="9">
        <v>4</v>
      </c>
      <c r="Z713" s="9" t="s">
        <v>1038</v>
      </c>
      <c r="AA713" s="9" t="s">
        <v>25</v>
      </c>
      <c r="AB713" s="9" t="s">
        <v>1039</v>
      </c>
      <c r="AC713" s="9" t="s">
        <v>1039</v>
      </c>
      <c r="AD713" s="9" t="s">
        <v>578</v>
      </c>
      <c r="AE713" s="9">
        <v>4.94832E-3</v>
      </c>
      <c r="AF713" s="9"/>
      <c r="AG713" s="9">
        <v>1</v>
      </c>
    </row>
    <row r="714" spans="25:33" x14ac:dyDescent="0.25">
      <c r="Y714" s="9">
        <v>4</v>
      </c>
      <c r="Z714" s="9" t="s">
        <v>49</v>
      </c>
      <c r="AA714" s="9" t="s">
        <v>25</v>
      </c>
      <c r="AB714" s="9" t="s">
        <v>50</v>
      </c>
      <c r="AC714" s="9" t="s">
        <v>50</v>
      </c>
      <c r="AD714" s="9" t="s">
        <v>27</v>
      </c>
      <c r="AE714" s="9"/>
      <c r="AF714" s="9"/>
      <c r="AG714" s="9">
        <v>4</v>
      </c>
    </row>
    <row r="715" spans="25:33" x14ac:dyDescent="0.25">
      <c r="Y715" s="10">
        <v>3</v>
      </c>
      <c r="Z715" s="10" t="s">
        <v>1040</v>
      </c>
      <c r="AA715" s="10" t="s">
        <v>25</v>
      </c>
      <c r="AB715" s="10" t="s">
        <v>239</v>
      </c>
      <c r="AC715" s="10" t="s">
        <v>239</v>
      </c>
      <c r="AD715" s="10" t="s">
        <v>942</v>
      </c>
      <c r="AE715" s="10">
        <v>4.4190599999999998E-3</v>
      </c>
      <c r="AF715" s="10"/>
      <c r="AG715" s="10">
        <v>1</v>
      </c>
    </row>
    <row r="716" spans="25:33" x14ac:dyDescent="0.25">
      <c r="Y716" s="10">
        <v>3</v>
      </c>
      <c r="Z716" s="10" t="s">
        <v>1041</v>
      </c>
      <c r="AA716" s="10" t="s">
        <v>25</v>
      </c>
      <c r="AB716" s="10" t="s">
        <v>1042</v>
      </c>
      <c r="AC716" s="10" t="s">
        <v>1042</v>
      </c>
      <c r="AF716" s="10"/>
      <c r="AG716" s="10">
        <v>1</v>
      </c>
    </row>
    <row r="717" spans="25:33" x14ac:dyDescent="0.25">
      <c r="Y717" s="9">
        <v>4</v>
      </c>
      <c r="Z717" s="9" t="s">
        <v>1043</v>
      </c>
      <c r="AA717" s="9" t="s">
        <v>25</v>
      </c>
      <c r="AB717" s="9" t="s">
        <v>1044</v>
      </c>
      <c r="AC717" s="9" t="s">
        <v>1044</v>
      </c>
      <c r="AD717" s="9"/>
      <c r="AE717" s="9">
        <v>0</v>
      </c>
      <c r="AF717" s="9"/>
      <c r="AG717" s="9">
        <v>1</v>
      </c>
    </row>
    <row r="718" spans="25:33" x14ac:dyDescent="0.25">
      <c r="Y718" s="9">
        <v>4</v>
      </c>
      <c r="Z718" s="9" t="s">
        <v>1045</v>
      </c>
      <c r="AA718" s="9" t="s">
        <v>25</v>
      </c>
      <c r="AB718" s="9" t="s">
        <v>1046</v>
      </c>
      <c r="AC718" s="9" t="s">
        <v>1046</v>
      </c>
      <c r="AD718" s="9"/>
      <c r="AE718" s="9">
        <v>0</v>
      </c>
      <c r="AF718" s="9"/>
      <c r="AG718" s="9">
        <v>1</v>
      </c>
    </row>
    <row r="719" spans="25:33" x14ac:dyDescent="0.25">
      <c r="Y719" s="10">
        <v>3</v>
      </c>
      <c r="Z719" s="10" t="s">
        <v>1047</v>
      </c>
      <c r="AA719" s="10" t="s">
        <v>25</v>
      </c>
      <c r="AB719" s="10"/>
      <c r="AC719" s="10" t="s">
        <v>1048</v>
      </c>
      <c r="AD719" s="10" t="s">
        <v>335</v>
      </c>
      <c r="AE719" s="10"/>
      <c r="AF719" s="10"/>
      <c r="AG719" s="10">
        <v>1</v>
      </c>
    </row>
    <row r="720" spans="25:33" x14ac:dyDescent="0.25">
      <c r="Y720" s="10">
        <v>3</v>
      </c>
      <c r="Z720" s="10" t="s">
        <v>1049</v>
      </c>
      <c r="AA720" s="10" t="s">
        <v>25</v>
      </c>
      <c r="AB720" s="10"/>
      <c r="AC720" s="10" t="s">
        <v>1050</v>
      </c>
      <c r="AD720" s="10" t="s">
        <v>27</v>
      </c>
      <c r="AE720" s="10"/>
      <c r="AF720" s="10"/>
      <c r="AG720" s="10">
        <v>1</v>
      </c>
    </row>
    <row r="721" spans="25:33" x14ac:dyDescent="0.25">
      <c r="Y721" s="10">
        <v>3</v>
      </c>
      <c r="Z721" s="10" t="s">
        <v>719</v>
      </c>
      <c r="AA721" s="10" t="s">
        <v>25</v>
      </c>
      <c r="AB721" s="10" t="s">
        <v>332</v>
      </c>
      <c r="AC721" s="10" t="s">
        <v>332</v>
      </c>
      <c r="AF721" s="10"/>
      <c r="AG721" s="10">
        <v>2</v>
      </c>
    </row>
    <row r="722" spans="25:33" x14ac:dyDescent="0.25">
      <c r="Y722" s="9">
        <v>4</v>
      </c>
      <c r="Z722" s="9" t="s">
        <v>720</v>
      </c>
      <c r="AA722" s="9" t="s">
        <v>25</v>
      </c>
      <c r="AB722" s="9" t="s">
        <v>334</v>
      </c>
      <c r="AC722" s="9" t="s">
        <v>334</v>
      </c>
      <c r="AD722" s="9" t="s">
        <v>335</v>
      </c>
      <c r="AE722" s="9">
        <v>0.45253199999999999</v>
      </c>
      <c r="AF722" s="9"/>
      <c r="AG722" s="9">
        <v>1</v>
      </c>
    </row>
    <row r="723" spans="25:33" x14ac:dyDescent="0.25">
      <c r="Y723" s="9">
        <v>4</v>
      </c>
      <c r="Z723" s="9" t="s">
        <v>721</v>
      </c>
      <c r="AA723" s="9" t="s">
        <v>25</v>
      </c>
      <c r="AB723" s="9" t="s">
        <v>337</v>
      </c>
      <c r="AC723" s="9" t="s">
        <v>337</v>
      </c>
      <c r="AD723" s="9" t="s">
        <v>335</v>
      </c>
      <c r="AE723" s="9">
        <v>0.42641299999999999</v>
      </c>
      <c r="AF723" s="9"/>
      <c r="AG723" s="9">
        <v>1</v>
      </c>
    </row>
    <row r="724" spans="25:33" x14ac:dyDescent="0.25">
      <c r="Y724" s="9">
        <v>4</v>
      </c>
      <c r="Z724" s="9" t="s">
        <v>722</v>
      </c>
      <c r="AA724" s="9" t="s">
        <v>25</v>
      </c>
      <c r="AB724" s="9" t="s">
        <v>339</v>
      </c>
      <c r="AC724" s="9" t="s">
        <v>339</v>
      </c>
      <c r="AD724" s="9" t="s">
        <v>335</v>
      </c>
      <c r="AE724" s="9">
        <v>0.85629699999999997</v>
      </c>
      <c r="AF724" s="9"/>
      <c r="AG724" s="9">
        <v>1</v>
      </c>
    </row>
    <row r="725" spans="25:33" x14ac:dyDescent="0.25">
      <c r="Y725" s="9">
        <v>4</v>
      </c>
      <c r="Z725" s="9" t="s">
        <v>723</v>
      </c>
      <c r="AA725" s="9" t="s">
        <v>25</v>
      </c>
      <c r="AB725" s="9" t="s">
        <v>341</v>
      </c>
      <c r="AC725" s="9" t="s">
        <v>342</v>
      </c>
      <c r="AD725" s="9" t="s">
        <v>335</v>
      </c>
      <c r="AE725" s="9">
        <v>0.1633</v>
      </c>
      <c r="AF725" s="9"/>
      <c r="AG725" s="9">
        <v>1</v>
      </c>
    </row>
    <row r="726" spans="25:33" x14ac:dyDescent="0.25">
      <c r="Y726" s="10">
        <v>3</v>
      </c>
      <c r="Z726" s="10" t="s">
        <v>237</v>
      </c>
      <c r="AA726" s="10" t="s">
        <v>25</v>
      </c>
      <c r="AB726" s="10" t="s">
        <v>235</v>
      </c>
      <c r="AC726" s="10" t="s">
        <v>235</v>
      </c>
      <c r="AD726" s="10" t="s">
        <v>236</v>
      </c>
      <c r="AE726" s="10">
        <v>2.1868200000000001E-2</v>
      </c>
      <c r="AF726" s="10"/>
      <c r="AG726" s="10">
        <v>2</v>
      </c>
    </row>
    <row r="727" spans="25:33" x14ac:dyDescent="0.25">
      <c r="Y727" s="10">
        <v>3</v>
      </c>
      <c r="Z727" s="10" t="s">
        <v>1051</v>
      </c>
      <c r="AA727" s="10" t="s">
        <v>25</v>
      </c>
      <c r="AB727" s="10"/>
      <c r="AC727" s="10" t="s">
        <v>462</v>
      </c>
      <c r="AD727" s="10" t="s">
        <v>27</v>
      </c>
      <c r="AE727" s="10"/>
      <c r="AF727" s="10"/>
      <c r="AG727" s="10">
        <v>2</v>
      </c>
    </row>
    <row r="728" spans="25:33" x14ac:dyDescent="0.25">
      <c r="Y728" s="10">
        <v>3</v>
      </c>
      <c r="Z728" s="10" t="s">
        <v>233</v>
      </c>
      <c r="AA728" s="10" t="s">
        <v>25</v>
      </c>
      <c r="AB728" s="10" t="s">
        <v>234</v>
      </c>
      <c r="AC728" s="10" t="s">
        <v>235</v>
      </c>
      <c r="AD728" s="10" t="s">
        <v>236</v>
      </c>
      <c r="AE728" s="10">
        <v>8.4709199999999998E-3</v>
      </c>
      <c r="AF728" s="10"/>
      <c r="AG728" s="10">
        <v>2</v>
      </c>
    </row>
    <row r="729" spans="25:33" x14ac:dyDescent="0.25">
      <c r="Y729" s="10">
        <v>3</v>
      </c>
      <c r="Z729" s="10" t="s">
        <v>508</v>
      </c>
      <c r="AA729" s="10" t="s">
        <v>25</v>
      </c>
      <c r="AB729" s="10"/>
      <c r="AC729" s="10" t="s">
        <v>464</v>
      </c>
      <c r="AD729" s="10" t="s">
        <v>27</v>
      </c>
      <c r="AE729" s="10"/>
      <c r="AF729" s="10"/>
      <c r="AG729" s="10">
        <v>2</v>
      </c>
    </row>
    <row r="730" spans="25:33" x14ac:dyDescent="0.25">
      <c r="Y730" s="10">
        <v>3</v>
      </c>
      <c r="Z730" s="10" t="s">
        <v>946</v>
      </c>
      <c r="AA730" s="10" t="s">
        <v>25</v>
      </c>
      <c r="AB730" s="10"/>
      <c r="AC730" s="10" t="s">
        <v>947</v>
      </c>
      <c r="AD730" s="10" t="s">
        <v>335</v>
      </c>
      <c r="AE730" s="10"/>
      <c r="AF730" s="10"/>
      <c r="AG730" s="10">
        <v>4</v>
      </c>
    </row>
    <row r="731" spans="25:33" x14ac:dyDescent="0.25">
      <c r="Y731" s="10">
        <v>3</v>
      </c>
      <c r="Z731" s="10" t="s">
        <v>248</v>
      </c>
      <c r="AA731" s="10" t="s">
        <v>25</v>
      </c>
      <c r="AB731" s="10" t="s">
        <v>7</v>
      </c>
      <c r="AC731" s="10" t="s">
        <v>7</v>
      </c>
      <c r="AD731" s="10" t="s">
        <v>27</v>
      </c>
      <c r="AE731" s="10">
        <v>1.29429E-3</v>
      </c>
      <c r="AF731" s="10"/>
      <c r="AG731" s="10">
        <v>6</v>
      </c>
    </row>
    <row r="732" spans="25:33" x14ac:dyDescent="0.25">
      <c r="Y732" s="10">
        <v>3</v>
      </c>
      <c r="Z732" s="10" t="s">
        <v>1052</v>
      </c>
      <c r="AA732" s="10" t="s">
        <v>25</v>
      </c>
      <c r="AB732" s="10"/>
      <c r="AC732" s="10" t="s">
        <v>671</v>
      </c>
      <c r="AD732" s="10" t="s">
        <v>27</v>
      </c>
      <c r="AE732" s="10"/>
      <c r="AF732" s="10"/>
      <c r="AG732" s="10">
        <v>12</v>
      </c>
    </row>
    <row r="733" spans="25:33" x14ac:dyDescent="0.25">
      <c r="Y733" s="10">
        <v>3</v>
      </c>
      <c r="Z733" s="10" t="s">
        <v>8</v>
      </c>
      <c r="AA733" s="10" t="s">
        <v>25</v>
      </c>
      <c r="AB733" s="10"/>
      <c r="AC733" s="10" t="s">
        <v>9</v>
      </c>
      <c r="AD733" s="10" t="s">
        <v>27</v>
      </c>
      <c r="AE733" s="10"/>
      <c r="AF733" s="10"/>
      <c r="AG733" s="10">
        <v>14</v>
      </c>
    </row>
    <row r="734" spans="25:33" x14ac:dyDescent="0.25">
      <c r="Y734" s="10">
        <v>3</v>
      </c>
      <c r="Z734" s="10" t="s">
        <v>1053</v>
      </c>
      <c r="AA734" s="10" t="s">
        <v>131</v>
      </c>
      <c r="AB734" s="10" t="s">
        <v>1054</v>
      </c>
      <c r="AC734" s="10" t="s">
        <v>1054</v>
      </c>
      <c r="AF734" s="10" t="s">
        <v>218</v>
      </c>
      <c r="AG734" s="10">
        <v>1</v>
      </c>
    </row>
    <row r="735" spans="25:33" x14ac:dyDescent="0.25">
      <c r="Y735" s="9">
        <v>4</v>
      </c>
      <c r="Z735" s="9" t="s">
        <v>1055</v>
      </c>
      <c r="AA735" s="9" t="s">
        <v>131</v>
      </c>
      <c r="AB735" s="9"/>
      <c r="AC735" s="9" t="s">
        <v>193</v>
      </c>
      <c r="AD735" s="9" t="s">
        <v>335</v>
      </c>
      <c r="AE735" s="9">
        <v>0.109212</v>
      </c>
      <c r="AF735" s="9" t="s">
        <v>218</v>
      </c>
      <c r="AG735" s="9">
        <v>1</v>
      </c>
    </row>
    <row r="736" spans="25:33" x14ac:dyDescent="0.25">
      <c r="Y736" s="9">
        <v>4</v>
      </c>
      <c r="Z736" s="9" t="s">
        <v>1056</v>
      </c>
      <c r="AA736" s="9" t="s">
        <v>25</v>
      </c>
      <c r="AB736" s="9"/>
      <c r="AC736" s="9" t="s">
        <v>1057</v>
      </c>
      <c r="AD736" s="9" t="s">
        <v>27</v>
      </c>
      <c r="AE736" s="9"/>
      <c r="AF736" s="9"/>
      <c r="AG736" s="9">
        <v>3</v>
      </c>
    </row>
    <row r="737" spans="25:33" x14ac:dyDescent="0.25">
      <c r="Y737" s="9">
        <v>4</v>
      </c>
      <c r="Z737" s="9" t="s">
        <v>1058</v>
      </c>
      <c r="AA737" s="9" t="s">
        <v>25</v>
      </c>
      <c r="AB737" s="9" t="s">
        <v>631</v>
      </c>
      <c r="AC737" s="9" t="s">
        <v>631</v>
      </c>
      <c r="AD737" s="9" t="s">
        <v>101</v>
      </c>
      <c r="AE737" s="14">
        <v>9.29983</v>
      </c>
      <c r="AF737" s="9"/>
      <c r="AG737" s="9">
        <v>6</v>
      </c>
    </row>
    <row r="738" spans="25:33" x14ac:dyDescent="0.25">
      <c r="Y738" s="10">
        <v>3</v>
      </c>
      <c r="Z738" s="10" t="s">
        <v>1059</v>
      </c>
      <c r="AA738" s="10" t="s">
        <v>131</v>
      </c>
      <c r="AB738" s="10" t="s">
        <v>1054</v>
      </c>
      <c r="AC738" s="10" t="s">
        <v>1054</v>
      </c>
      <c r="AF738" s="10" t="s">
        <v>218</v>
      </c>
      <c r="AG738" s="10">
        <v>1</v>
      </c>
    </row>
    <row r="739" spans="25:33" x14ac:dyDescent="0.25">
      <c r="Y739" s="9">
        <v>4</v>
      </c>
      <c r="Z739" s="9" t="s">
        <v>1060</v>
      </c>
      <c r="AA739" s="9" t="s">
        <v>131</v>
      </c>
      <c r="AB739" s="9" t="s">
        <v>193</v>
      </c>
      <c r="AC739" s="9" t="s">
        <v>193</v>
      </c>
      <c r="AD739" s="9" t="s">
        <v>335</v>
      </c>
      <c r="AE739" s="9">
        <v>1.24875E-2</v>
      </c>
      <c r="AF739" s="9" t="s">
        <v>218</v>
      </c>
      <c r="AG739" s="9">
        <v>1</v>
      </c>
    </row>
    <row r="740" spans="25:33" x14ac:dyDescent="0.25">
      <c r="Y740" s="9">
        <v>4</v>
      </c>
      <c r="Z740" s="9" t="s">
        <v>1056</v>
      </c>
      <c r="AA740" s="9" t="s">
        <v>25</v>
      </c>
      <c r="AB740" s="9"/>
      <c r="AC740" s="9" t="s">
        <v>1057</v>
      </c>
      <c r="AD740" s="9" t="s">
        <v>27</v>
      </c>
      <c r="AE740" s="9"/>
      <c r="AF740" s="9"/>
      <c r="AG740" s="9">
        <v>3</v>
      </c>
    </row>
    <row r="741" spans="25:33" x14ac:dyDescent="0.25">
      <c r="Y741" s="9">
        <v>4</v>
      </c>
      <c r="Z741" s="9" t="s">
        <v>1058</v>
      </c>
      <c r="AA741" s="9" t="s">
        <v>25</v>
      </c>
      <c r="AB741" s="9" t="s">
        <v>631</v>
      </c>
      <c r="AC741" s="9" t="s">
        <v>631</v>
      </c>
      <c r="AD741" s="9" t="s">
        <v>101</v>
      </c>
      <c r="AE741" s="14">
        <v>9.29983</v>
      </c>
      <c r="AF741" s="9"/>
      <c r="AG741" s="9">
        <v>6</v>
      </c>
    </row>
    <row r="742" spans="25:33" x14ac:dyDescent="0.25">
      <c r="Y742" s="10">
        <v>3</v>
      </c>
      <c r="Z742" s="10" t="s">
        <v>1061</v>
      </c>
      <c r="AA742" s="10" t="s">
        <v>131</v>
      </c>
      <c r="AB742" s="10" t="s">
        <v>1054</v>
      </c>
      <c r="AC742" s="10" t="s">
        <v>1054</v>
      </c>
      <c r="AF742" s="10" t="s">
        <v>218</v>
      </c>
      <c r="AG742" s="10">
        <v>1</v>
      </c>
    </row>
    <row r="743" spans="25:33" x14ac:dyDescent="0.25">
      <c r="Y743" s="9">
        <v>4</v>
      </c>
      <c r="Z743" s="9" t="s">
        <v>1062</v>
      </c>
      <c r="AA743" s="9" t="s">
        <v>131</v>
      </c>
      <c r="AB743" s="9" t="s">
        <v>193</v>
      </c>
      <c r="AC743" s="9" t="s">
        <v>193</v>
      </c>
      <c r="AD743" s="9" t="s">
        <v>335</v>
      </c>
      <c r="AE743" s="9">
        <v>0.109212</v>
      </c>
      <c r="AF743" s="9" t="s">
        <v>218</v>
      </c>
      <c r="AG743" s="9">
        <v>1</v>
      </c>
    </row>
    <row r="744" spans="25:33" x14ac:dyDescent="0.25">
      <c r="Y744" s="9">
        <v>4</v>
      </c>
      <c r="Z744" s="9" t="s">
        <v>1056</v>
      </c>
      <c r="AA744" s="9" t="s">
        <v>25</v>
      </c>
      <c r="AB744" s="9"/>
      <c r="AC744" s="9" t="s">
        <v>1057</v>
      </c>
      <c r="AD744" s="9" t="s">
        <v>27</v>
      </c>
      <c r="AE744" s="9"/>
      <c r="AF744" s="9"/>
      <c r="AG744" s="9">
        <v>3</v>
      </c>
    </row>
    <row r="745" spans="25:33" x14ac:dyDescent="0.25">
      <c r="Y745" s="10">
        <v>3</v>
      </c>
      <c r="Z745" s="10" t="s">
        <v>1063</v>
      </c>
      <c r="AA745" s="10" t="s">
        <v>29</v>
      </c>
      <c r="AB745" s="10" t="s">
        <v>1064</v>
      </c>
      <c r="AC745" s="10" t="s">
        <v>1064</v>
      </c>
      <c r="AD745" s="10" t="s">
        <v>335</v>
      </c>
      <c r="AE745" s="10">
        <v>3.1900699999999997E-2</v>
      </c>
      <c r="AF745" s="10" t="s">
        <v>150</v>
      </c>
      <c r="AG745" s="10">
        <v>1</v>
      </c>
    </row>
    <row r="746" spans="25:33" x14ac:dyDescent="0.25">
      <c r="Y746" s="10">
        <v>3</v>
      </c>
      <c r="Z746" s="10" t="s">
        <v>1065</v>
      </c>
      <c r="AA746" s="10" t="s">
        <v>78</v>
      </c>
      <c r="AB746" s="10" t="s">
        <v>1066</v>
      </c>
      <c r="AC746" s="10" t="s">
        <v>1066</v>
      </c>
      <c r="AD746" s="10" t="s">
        <v>169</v>
      </c>
      <c r="AE746" s="10">
        <v>1.9222999999999999</v>
      </c>
      <c r="AF746" s="10"/>
      <c r="AG746" s="10">
        <v>1</v>
      </c>
    </row>
    <row r="747" spans="25:33" x14ac:dyDescent="0.25">
      <c r="Y747" s="10">
        <v>3</v>
      </c>
      <c r="Z747" s="10" t="s">
        <v>1067</v>
      </c>
      <c r="AA747" s="10" t="s">
        <v>131</v>
      </c>
      <c r="AB747" s="10" t="s">
        <v>1054</v>
      </c>
      <c r="AC747" s="10" t="s">
        <v>1054</v>
      </c>
      <c r="AF747" s="10" t="s">
        <v>218</v>
      </c>
      <c r="AG747" s="10">
        <v>1</v>
      </c>
    </row>
    <row r="748" spans="25:33" x14ac:dyDescent="0.25">
      <c r="Y748" s="9">
        <v>4</v>
      </c>
      <c r="Z748" s="9" t="s">
        <v>1068</v>
      </c>
      <c r="AA748" s="9" t="s">
        <v>131</v>
      </c>
      <c r="AB748" s="9" t="s">
        <v>193</v>
      </c>
      <c r="AC748" s="9" t="s">
        <v>193</v>
      </c>
      <c r="AD748" s="9" t="s">
        <v>335</v>
      </c>
      <c r="AE748" s="9">
        <v>1.0740599999999999E-2</v>
      </c>
      <c r="AF748" s="9" t="s">
        <v>218</v>
      </c>
      <c r="AG748" s="9">
        <v>1</v>
      </c>
    </row>
    <row r="749" spans="25:33" x14ac:dyDescent="0.25">
      <c r="Y749" s="9">
        <v>4</v>
      </c>
      <c r="Z749" s="9" t="s">
        <v>1069</v>
      </c>
      <c r="AA749" s="9" t="s">
        <v>25</v>
      </c>
      <c r="AB749" s="9"/>
      <c r="AC749" s="9" t="s">
        <v>1070</v>
      </c>
      <c r="AD749" s="9" t="s">
        <v>27</v>
      </c>
      <c r="AE749" s="9"/>
      <c r="AF749" s="9"/>
      <c r="AG749" s="9">
        <v>2</v>
      </c>
    </row>
    <row r="750" spans="25:33" x14ac:dyDescent="0.25">
      <c r="Y750" s="9">
        <v>4</v>
      </c>
      <c r="Z750" s="9" t="s">
        <v>1056</v>
      </c>
      <c r="AA750" s="9" t="s">
        <v>25</v>
      </c>
      <c r="AB750" s="9"/>
      <c r="AC750" s="9" t="s">
        <v>1057</v>
      </c>
      <c r="AD750" s="9" t="s">
        <v>27</v>
      </c>
      <c r="AE750" s="9"/>
      <c r="AF750" s="9"/>
      <c r="AG750" s="9">
        <v>2</v>
      </c>
    </row>
    <row r="751" spans="25:33" x14ac:dyDescent="0.25">
      <c r="Y751" s="9">
        <v>4</v>
      </c>
      <c r="Z751" s="9" t="s">
        <v>1058</v>
      </c>
      <c r="AA751" s="9" t="s">
        <v>25</v>
      </c>
      <c r="AB751" s="9" t="s">
        <v>631</v>
      </c>
      <c r="AC751" s="9" t="s">
        <v>631</v>
      </c>
      <c r="AD751" s="9" t="s">
        <v>101</v>
      </c>
      <c r="AE751" s="14">
        <v>9.29983</v>
      </c>
      <c r="AF751" s="9"/>
      <c r="AG751" s="9">
        <v>8</v>
      </c>
    </row>
    <row r="752" spans="25:33" x14ac:dyDescent="0.25">
      <c r="Y752" s="10">
        <v>3</v>
      </c>
      <c r="Z752" s="10" t="s">
        <v>1071</v>
      </c>
      <c r="AA752" s="10" t="s">
        <v>131</v>
      </c>
      <c r="AB752" s="10" t="s">
        <v>1054</v>
      </c>
      <c r="AC752" s="10" t="s">
        <v>1054</v>
      </c>
      <c r="AF752" s="10" t="s">
        <v>218</v>
      </c>
      <c r="AG752" s="10">
        <v>1</v>
      </c>
    </row>
    <row r="753" spans="25:33" x14ac:dyDescent="0.25">
      <c r="Y753" s="9">
        <v>4</v>
      </c>
      <c r="Z753" s="9" t="s">
        <v>1072</v>
      </c>
      <c r="AA753" s="9" t="s">
        <v>131</v>
      </c>
      <c r="AB753" s="9" t="s">
        <v>193</v>
      </c>
      <c r="AC753" s="9" t="s">
        <v>193</v>
      </c>
      <c r="AD753" s="9" t="s">
        <v>335</v>
      </c>
      <c r="AE753" s="9">
        <v>1.08562E-2</v>
      </c>
      <c r="AF753" s="9" t="s">
        <v>218</v>
      </c>
      <c r="AG753" s="9">
        <v>1</v>
      </c>
    </row>
    <row r="754" spans="25:33" x14ac:dyDescent="0.25">
      <c r="Y754" s="9">
        <v>4</v>
      </c>
      <c r="Z754" s="9" t="s">
        <v>1069</v>
      </c>
      <c r="AA754" s="9" t="s">
        <v>25</v>
      </c>
      <c r="AB754" s="9"/>
      <c r="AC754" s="9" t="s">
        <v>1070</v>
      </c>
      <c r="AD754" s="9" t="s">
        <v>27</v>
      </c>
      <c r="AE754" s="9"/>
      <c r="AF754" s="9"/>
      <c r="AG754" s="9">
        <v>2</v>
      </c>
    </row>
    <row r="755" spans="25:33" x14ac:dyDescent="0.25">
      <c r="Y755" s="9">
        <v>4</v>
      </c>
      <c r="Z755" s="9" t="s">
        <v>1058</v>
      </c>
      <c r="AA755" s="9" t="s">
        <v>25</v>
      </c>
      <c r="AB755" s="9" t="s">
        <v>631</v>
      </c>
      <c r="AC755" s="9" t="s">
        <v>631</v>
      </c>
      <c r="AD755" s="9" t="s">
        <v>101</v>
      </c>
      <c r="AE755" s="14">
        <v>9.29983</v>
      </c>
      <c r="AF755" s="9"/>
      <c r="AG755" s="9">
        <v>4</v>
      </c>
    </row>
    <row r="756" spans="25:33" x14ac:dyDescent="0.25">
      <c r="Y756" s="9">
        <v>2</v>
      </c>
      <c r="Z756" s="9" t="s">
        <v>1073</v>
      </c>
      <c r="AA756" s="9" t="s">
        <v>35</v>
      </c>
      <c r="AB756" s="9" t="s">
        <v>1074</v>
      </c>
      <c r="AC756" s="9" t="s">
        <v>1074</v>
      </c>
      <c r="AF756" s="9"/>
      <c r="AG756" s="9">
        <v>1</v>
      </c>
    </row>
    <row r="757" spans="25:33" x14ac:dyDescent="0.25">
      <c r="Y757" s="10">
        <v>3</v>
      </c>
      <c r="Z757" s="10" t="s">
        <v>1005</v>
      </c>
      <c r="AA757" s="10" t="s">
        <v>25</v>
      </c>
      <c r="AB757" s="10"/>
      <c r="AC757" s="10" t="s">
        <v>1006</v>
      </c>
      <c r="AD757" s="10" t="s">
        <v>27</v>
      </c>
      <c r="AE757" s="10"/>
      <c r="AF757" s="10"/>
      <c r="AG757" s="10">
        <v>1</v>
      </c>
    </row>
    <row r="758" spans="25:33" x14ac:dyDescent="0.25">
      <c r="Y758" s="10">
        <v>3</v>
      </c>
      <c r="Z758" s="10" t="s">
        <v>1007</v>
      </c>
      <c r="AA758" s="10" t="s">
        <v>25</v>
      </c>
      <c r="AB758" s="10"/>
      <c r="AC758" s="10" t="s">
        <v>1008</v>
      </c>
      <c r="AD758" s="10" t="s">
        <v>27</v>
      </c>
      <c r="AE758" s="10"/>
      <c r="AF758" s="10"/>
      <c r="AG758" s="10">
        <v>1</v>
      </c>
    </row>
    <row r="759" spans="25:33" x14ac:dyDescent="0.25">
      <c r="Y759" s="10">
        <v>3</v>
      </c>
      <c r="Z759" s="10" t="s">
        <v>1009</v>
      </c>
      <c r="AA759" s="10" t="s">
        <v>25</v>
      </c>
      <c r="AB759" s="10" t="s">
        <v>1010</v>
      </c>
      <c r="AC759" s="10" t="s">
        <v>1010</v>
      </c>
      <c r="AD759" s="10"/>
      <c r="AE759" s="10">
        <v>0</v>
      </c>
      <c r="AF759" s="10"/>
      <c r="AG759" s="10">
        <v>1</v>
      </c>
    </row>
    <row r="760" spans="25:33" ht="30" x14ac:dyDescent="0.25">
      <c r="Y760" s="10">
        <v>3</v>
      </c>
      <c r="Z760" s="10" t="s">
        <v>1011</v>
      </c>
      <c r="AA760" s="10" t="s">
        <v>25</v>
      </c>
      <c r="AB760" s="12" t="s">
        <v>1012</v>
      </c>
      <c r="AC760" s="10" t="s">
        <v>1013</v>
      </c>
      <c r="AD760" s="10" t="s">
        <v>27</v>
      </c>
      <c r="AE760" s="10">
        <v>1.7323099999999999E-3</v>
      </c>
      <c r="AF760" s="10"/>
      <c r="AG760" s="10">
        <v>1</v>
      </c>
    </row>
    <row r="761" spans="25:33" x14ac:dyDescent="0.25">
      <c r="Y761" s="10">
        <v>3</v>
      </c>
      <c r="Z761" s="10" t="s">
        <v>1075</v>
      </c>
      <c r="AA761" s="10" t="s">
        <v>35</v>
      </c>
      <c r="AB761" s="10" t="s">
        <v>1016</v>
      </c>
      <c r="AC761" s="10" t="s">
        <v>1016</v>
      </c>
      <c r="AF761" s="10"/>
      <c r="AG761" s="10">
        <v>1</v>
      </c>
    </row>
    <row r="762" spans="25:33" x14ac:dyDescent="0.25">
      <c r="Y762" s="9">
        <v>4</v>
      </c>
      <c r="Z762" s="9" t="s">
        <v>1076</v>
      </c>
      <c r="AA762" s="9" t="s">
        <v>35</v>
      </c>
      <c r="AB762" s="9"/>
      <c r="AC762" s="9" t="s">
        <v>1018</v>
      </c>
      <c r="AF762" s="9"/>
      <c r="AG762" s="9">
        <v>1</v>
      </c>
    </row>
    <row r="763" spans="25:33" x14ac:dyDescent="0.25">
      <c r="Y763" s="10">
        <v>5</v>
      </c>
      <c r="Z763" s="10" t="s">
        <v>1077</v>
      </c>
      <c r="AA763" s="10" t="s">
        <v>35</v>
      </c>
      <c r="AB763" s="10" t="s">
        <v>1020</v>
      </c>
      <c r="AC763" s="10" t="s">
        <v>1078</v>
      </c>
      <c r="AD763" s="10" t="s">
        <v>45</v>
      </c>
      <c r="AE763" s="10">
        <v>5.986E-3</v>
      </c>
      <c r="AF763" s="10"/>
      <c r="AG763" s="10">
        <v>1</v>
      </c>
    </row>
    <row r="764" spans="25:33" x14ac:dyDescent="0.25">
      <c r="Y764" s="10">
        <v>5</v>
      </c>
      <c r="Z764" s="10" t="s">
        <v>49</v>
      </c>
      <c r="AA764" s="10" t="s">
        <v>25</v>
      </c>
      <c r="AB764" s="10" t="s">
        <v>50</v>
      </c>
      <c r="AC764" s="10" t="s">
        <v>50</v>
      </c>
      <c r="AD764" s="10" t="s">
        <v>27</v>
      </c>
      <c r="AE764" s="10"/>
      <c r="AF764" s="10"/>
      <c r="AG764" s="10">
        <v>3</v>
      </c>
    </row>
    <row r="765" spans="25:33" x14ac:dyDescent="0.25">
      <c r="Y765" s="10">
        <v>5</v>
      </c>
      <c r="Z765" s="10" t="s">
        <v>51</v>
      </c>
      <c r="AA765" s="10" t="s">
        <v>25</v>
      </c>
      <c r="AB765" s="10" t="s">
        <v>52</v>
      </c>
      <c r="AC765" s="10" t="s">
        <v>52</v>
      </c>
      <c r="AD765" s="10" t="s">
        <v>27</v>
      </c>
      <c r="AE765" s="10"/>
      <c r="AF765" s="10"/>
      <c r="AG765" s="10">
        <v>4</v>
      </c>
    </row>
    <row r="766" spans="25:33" x14ac:dyDescent="0.25">
      <c r="Y766" s="9">
        <v>4</v>
      </c>
      <c r="Z766" s="9" t="s">
        <v>1079</v>
      </c>
      <c r="AA766" s="9" t="s">
        <v>35</v>
      </c>
      <c r="AB766" s="9"/>
      <c r="AC766" s="9" t="s">
        <v>1028</v>
      </c>
      <c r="AF766" s="9"/>
      <c r="AG766" s="9">
        <v>1</v>
      </c>
    </row>
    <row r="767" spans="25:33" x14ac:dyDescent="0.25">
      <c r="Y767" s="10">
        <v>5</v>
      </c>
      <c r="Z767" s="10" t="s">
        <v>1080</v>
      </c>
      <c r="AA767" s="10" t="s">
        <v>35</v>
      </c>
      <c r="AB767" s="10" t="s">
        <v>1081</v>
      </c>
      <c r="AC767" s="10" t="s">
        <v>1081</v>
      </c>
      <c r="AD767" s="10" t="s">
        <v>80</v>
      </c>
      <c r="AE767" s="10">
        <v>0.57774300000000001</v>
      </c>
      <c r="AF767" s="10"/>
      <c r="AG767" s="10">
        <v>1</v>
      </c>
    </row>
    <row r="768" spans="25:33" x14ac:dyDescent="0.25">
      <c r="Y768" s="10">
        <v>5</v>
      </c>
      <c r="Z768" s="10" t="s">
        <v>84</v>
      </c>
      <c r="AA768" s="10" t="s">
        <v>25</v>
      </c>
      <c r="AB768" s="10" t="s">
        <v>50</v>
      </c>
      <c r="AC768" s="10" t="s">
        <v>50</v>
      </c>
      <c r="AD768" s="10" t="s">
        <v>27</v>
      </c>
      <c r="AE768" s="10"/>
      <c r="AF768" s="10"/>
      <c r="AG768" s="10">
        <v>6</v>
      </c>
    </row>
    <row r="769" spans="25:33" x14ac:dyDescent="0.25">
      <c r="Y769" s="9">
        <v>4</v>
      </c>
      <c r="Z769" s="9" t="s">
        <v>1082</v>
      </c>
      <c r="AA769" s="9" t="s">
        <v>35</v>
      </c>
      <c r="AB769" s="9"/>
      <c r="AC769" s="9" t="s">
        <v>1023</v>
      </c>
      <c r="AF769" s="9"/>
      <c r="AG769" s="9">
        <v>1</v>
      </c>
    </row>
    <row r="770" spans="25:33" x14ac:dyDescent="0.25">
      <c r="Y770" s="10">
        <v>5</v>
      </c>
      <c r="Z770" s="10" t="s">
        <v>1083</v>
      </c>
      <c r="AA770" s="10" t="s">
        <v>35</v>
      </c>
      <c r="AB770" s="10" t="s">
        <v>1084</v>
      </c>
      <c r="AC770" s="10" t="s">
        <v>1025</v>
      </c>
      <c r="AD770" s="10" t="s">
        <v>1026</v>
      </c>
      <c r="AE770" s="10">
        <v>0</v>
      </c>
      <c r="AF770" s="10"/>
      <c r="AG770" s="10">
        <v>1</v>
      </c>
    </row>
    <row r="771" spans="25:33" x14ac:dyDescent="0.25">
      <c r="Y771" s="10">
        <v>5</v>
      </c>
      <c r="Z771" s="10" t="s">
        <v>318</v>
      </c>
      <c r="AA771" s="10" t="s">
        <v>25</v>
      </c>
      <c r="AB771" s="10"/>
      <c r="AC771" s="10" t="s">
        <v>62</v>
      </c>
      <c r="AD771" s="10" t="s">
        <v>27</v>
      </c>
      <c r="AE771" s="10"/>
      <c r="AF771" s="10"/>
      <c r="AG771" s="10">
        <v>4</v>
      </c>
    </row>
    <row r="772" spans="25:33" x14ac:dyDescent="0.25">
      <c r="Y772" s="9">
        <v>4</v>
      </c>
      <c r="Z772" s="9" t="s">
        <v>1085</v>
      </c>
      <c r="AA772" s="9" t="s">
        <v>35</v>
      </c>
      <c r="AB772" s="9"/>
      <c r="AC772" s="9" t="s">
        <v>1018</v>
      </c>
      <c r="AF772" s="9"/>
      <c r="AG772" s="9">
        <v>1</v>
      </c>
    </row>
    <row r="773" spans="25:33" x14ac:dyDescent="0.25">
      <c r="Y773" s="10">
        <v>5</v>
      </c>
      <c r="Z773" s="10" t="s">
        <v>1086</v>
      </c>
      <c r="AA773" s="10" t="s">
        <v>35</v>
      </c>
      <c r="AB773" s="10" t="s">
        <v>1020</v>
      </c>
      <c r="AC773" s="10" t="s">
        <v>1078</v>
      </c>
      <c r="AD773" s="10" t="s">
        <v>45</v>
      </c>
      <c r="AE773" s="10">
        <v>6.6645200000000002E-3</v>
      </c>
      <c r="AF773" s="10"/>
      <c r="AG773" s="10">
        <v>1</v>
      </c>
    </row>
    <row r="774" spans="25:33" x14ac:dyDescent="0.25">
      <c r="Y774" s="10">
        <v>5</v>
      </c>
      <c r="Z774" s="10" t="s">
        <v>49</v>
      </c>
      <c r="AA774" s="10" t="s">
        <v>25</v>
      </c>
      <c r="AB774" s="10" t="s">
        <v>50</v>
      </c>
      <c r="AC774" s="10" t="s">
        <v>50</v>
      </c>
      <c r="AD774" s="10" t="s">
        <v>27</v>
      </c>
      <c r="AE774" s="10"/>
      <c r="AF774" s="10"/>
      <c r="AG774" s="10">
        <v>3</v>
      </c>
    </row>
    <row r="775" spans="25:33" x14ac:dyDescent="0.25">
      <c r="Y775" s="10">
        <v>3</v>
      </c>
      <c r="Z775" s="10" t="s">
        <v>1087</v>
      </c>
      <c r="AA775" s="10" t="s">
        <v>35</v>
      </c>
      <c r="AB775" s="10" t="s">
        <v>1088</v>
      </c>
      <c r="AC775" s="10" t="s">
        <v>1088</v>
      </c>
      <c r="AD775" s="10" t="s">
        <v>1035</v>
      </c>
      <c r="AE775" s="10">
        <v>0.16906199999999999</v>
      </c>
      <c r="AF775" s="10"/>
      <c r="AG775" s="10">
        <v>1</v>
      </c>
    </row>
    <row r="776" spans="25:33" x14ac:dyDescent="0.25">
      <c r="Y776" s="10">
        <v>3</v>
      </c>
      <c r="Z776" s="10" t="s">
        <v>1036</v>
      </c>
      <c r="AA776" s="10" t="s">
        <v>25</v>
      </c>
      <c r="AB776" s="10" t="s">
        <v>1037</v>
      </c>
      <c r="AC776" s="10" t="s">
        <v>1037</v>
      </c>
      <c r="AF776" s="10"/>
      <c r="AG776" s="10">
        <v>1</v>
      </c>
    </row>
    <row r="777" spans="25:33" x14ac:dyDescent="0.25">
      <c r="Y777" s="9">
        <v>4</v>
      </c>
      <c r="Z777" s="9" t="s">
        <v>1038</v>
      </c>
      <c r="AA777" s="9" t="s">
        <v>25</v>
      </c>
      <c r="AB777" s="9" t="s">
        <v>1039</v>
      </c>
      <c r="AC777" s="9" t="s">
        <v>1039</v>
      </c>
      <c r="AD777" s="9" t="s">
        <v>578</v>
      </c>
      <c r="AE777" s="9">
        <v>4.94832E-3</v>
      </c>
      <c r="AF777" s="9"/>
      <c r="AG777" s="9">
        <v>1</v>
      </c>
    </row>
    <row r="778" spans="25:33" x14ac:dyDescent="0.25">
      <c r="Y778" s="9">
        <v>4</v>
      </c>
      <c r="Z778" s="9" t="s">
        <v>49</v>
      </c>
      <c r="AA778" s="9" t="s">
        <v>25</v>
      </c>
      <c r="AB778" s="9" t="s">
        <v>50</v>
      </c>
      <c r="AC778" s="9" t="s">
        <v>50</v>
      </c>
      <c r="AD778" s="9" t="s">
        <v>27</v>
      </c>
      <c r="AE778" s="9"/>
      <c r="AF778" s="9"/>
      <c r="AG778" s="9">
        <v>4</v>
      </c>
    </row>
    <row r="779" spans="25:33" x14ac:dyDescent="0.25">
      <c r="Y779" s="10">
        <v>3</v>
      </c>
      <c r="Z779" s="10" t="s">
        <v>1040</v>
      </c>
      <c r="AA779" s="10" t="s">
        <v>25</v>
      </c>
      <c r="AB779" s="10" t="s">
        <v>239</v>
      </c>
      <c r="AC779" s="10" t="s">
        <v>239</v>
      </c>
      <c r="AD779" s="10" t="s">
        <v>942</v>
      </c>
      <c r="AE779" s="10">
        <v>4.4190599999999998E-3</v>
      </c>
      <c r="AF779" s="10"/>
      <c r="AG779" s="10">
        <v>1</v>
      </c>
    </row>
    <row r="780" spans="25:33" x14ac:dyDescent="0.25">
      <c r="Y780" s="10">
        <v>3</v>
      </c>
      <c r="Z780" s="10" t="s">
        <v>1041</v>
      </c>
      <c r="AA780" s="10" t="s">
        <v>25</v>
      </c>
      <c r="AB780" s="10" t="s">
        <v>1042</v>
      </c>
      <c r="AC780" s="10" t="s">
        <v>1042</v>
      </c>
      <c r="AF780" s="10"/>
      <c r="AG780" s="10">
        <v>1</v>
      </c>
    </row>
    <row r="781" spans="25:33" x14ac:dyDescent="0.25">
      <c r="Y781" s="9">
        <v>4</v>
      </c>
      <c r="Z781" s="9" t="s">
        <v>1043</v>
      </c>
      <c r="AA781" s="9" t="s">
        <v>25</v>
      </c>
      <c r="AB781" s="9" t="s">
        <v>1044</v>
      </c>
      <c r="AC781" s="9" t="s">
        <v>1044</v>
      </c>
      <c r="AD781" s="9"/>
      <c r="AE781" s="9">
        <v>0</v>
      </c>
      <c r="AF781" s="9"/>
      <c r="AG781" s="9">
        <v>1</v>
      </c>
    </row>
    <row r="782" spans="25:33" x14ac:dyDescent="0.25">
      <c r="Y782" s="9">
        <v>4</v>
      </c>
      <c r="Z782" s="9" t="s">
        <v>1045</v>
      </c>
      <c r="AA782" s="9" t="s">
        <v>25</v>
      </c>
      <c r="AB782" s="9" t="s">
        <v>1046</v>
      </c>
      <c r="AC782" s="9" t="s">
        <v>1046</v>
      </c>
      <c r="AD782" s="9"/>
      <c r="AE782" s="9">
        <v>0</v>
      </c>
      <c r="AF782" s="9"/>
      <c r="AG782" s="9">
        <v>1</v>
      </c>
    </row>
    <row r="783" spans="25:33" x14ac:dyDescent="0.25">
      <c r="Y783" s="10">
        <v>3</v>
      </c>
      <c r="Z783" s="10" t="s">
        <v>1047</v>
      </c>
      <c r="AA783" s="10" t="s">
        <v>25</v>
      </c>
      <c r="AB783" s="10"/>
      <c r="AC783" s="10" t="s">
        <v>1048</v>
      </c>
      <c r="AD783" s="10" t="s">
        <v>335</v>
      </c>
      <c r="AE783" s="10"/>
      <c r="AF783" s="10"/>
      <c r="AG783" s="10">
        <v>1</v>
      </c>
    </row>
    <row r="784" spans="25:33" x14ac:dyDescent="0.25">
      <c r="Y784" s="10">
        <v>3</v>
      </c>
      <c r="Z784" s="10" t="s">
        <v>1049</v>
      </c>
      <c r="AA784" s="10" t="s">
        <v>25</v>
      </c>
      <c r="AB784" s="10"/>
      <c r="AC784" s="10" t="s">
        <v>1050</v>
      </c>
      <c r="AD784" s="10" t="s">
        <v>27</v>
      </c>
      <c r="AE784" s="10"/>
      <c r="AF784" s="10"/>
      <c r="AG784" s="10">
        <v>1</v>
      </c>
    </row>
    <row r="785" spans="25:33" x14ac:dyDescent="0.25">
      <c r="Y785" s="10">
        <v>3</v>
      </c>
      <c r="Z785" s="10" t="s">
        <v>719</v>
      </c>
      <c r="AA785" s="10" t="s">
        <v>25</v>
      </c>
      <c r="AB785" s="10" t="s">
        <v>332</v>
      </c>
      <c r="AC785" s="10" t="s">
        <v>332</v>
      </c>
      <c r="AF785" s="10"/>
      <c r="AG785" s="10">
        <v>2</v>
      </c>
    </row>
    <row r="786" spans="25:33" x14ac:dyDescent="0.25">
      <c r="Y786" s="9">
        <v>4</v>
      </c>
      <c r="Z786" s="9" t="s">
        <v>720</v>
      </c>
      <c r="AA786" s="9" t="s">
        <v>25</v>
      </c>
      <c r="AB786" s="9" t="s">
        <v>334</v>
      </c>
      <c r="AC786" s="9" t="s">
        <v>334</v>
      </c>
      <c r="AD786" s="9" t="s">
        <v>335</v>
      </c>
      <c r="AE786" s="9">
        <v>0.45253199999999999</v>
      </c>
      <c r="AF786" s="9"/>
      <c r="AG786" s="9">
        <v>1</v>
      </c>
    </row>
    <row r="787" spans="25:33" x14ac:dyDescent="0.25">
      <c r="Y787" s="9">
        <v>4</v>
      </c>
      <c r="Z787" s="9" t="s">
        <v>721</v>
      </c>
      <c r="AA787" s="9" t="s">
        <v>25</v>
      </c>
      <c r="AB787" s="9" t="s">
        <v>337</v>
      </c>
      <c r="AC787" s="9" t="s">
        <v>337</v>
      </c>
      <c r="AD787" s="9" t="s">
        <v>335</v>
      </c>
      <c r="AE787" s="9">
        <v>0.42641299999999999</v>
      </c>
      <c r="AF787" s="9"/>
      <c r="AG787" s="9">
        <v>1</v>
      </c>
    </row>
    <row r="788" spans="25:33" x14ac:dyDescent="0.25">
      <c r="Y788" s="9">
        <v>4</v>
      </c>
      <c r="Z788" s="9" t="s">
        <v>722</v>
      </c>
      <c r="AA788" s="9" t="s">
        <v>25</v>
      </c>
      <c r="AB788" s="9" t="s">
        <v>339</v>
      </c>
      <c r="AC788" s="9" t="s">
        <v>339</v>
      </c>
      <c r="AD788" s="9" t="s">
        <v>335</v>
      </c>
      <c r="AE788" s="9">
        <v>0.85629699999999997</v>
      </c>
      <c r="AF788" s="9"/>
      <c r="AG788" s="9">
        <v>1</v>
      </c>
    </row>
    <row r="789" spans="25:33" x14ac:dyDescent="0.25">
      <c r="Y789" s="9">
        <v>4</v>
      </c>
      <c r="Z789" s="9" t="s">
        <v>723</v>
      </c>
      <c r="AA789" s="9" t="s">
        <v>25</v>
      </c>
      <c r="AB789" s="9" t="s">
        <v>341</v>
      </c>
      <c r="AC789" s="9" t="s">
        <v>342</v>
      </c>
      <c r="AD789" s="9" t="s">
        <v>335</v>
      </c>
      <c r="AE789" s="9">
        <v>0.1633</v>
      </c>
      <c r="AF789" s="9"/>
      <c r="AG789" s="9">
        <v>1</v>
      </c>
    </row>
    <row r="790" spans="25:33" x14ac:dyDescent="0.25">
      <c r="Y790" s="10">
        <v>3</v>
      </c>
      <c r="Z790" s="10" t="s">
        <v>237</v>
      </c>
      <c r="AA790" s="10" t="s">
        <v>25</v>
      </c>
      <c r="AB790" s="10" t="s">
        <v>235</v>
      </c>
      <c r="AC790" s="10" t="s">
        <v>235</v>
      </c>
      <c r="AD790" s="10" t="s">
        <v>236</v>
      </c>
      <c r="AE790" s="10">
        <v>2.1868200000000001E-2</v>
      </c>
      <c r="AF790" s="10"/>
      <c r="AG790" s="10">
        <v>2</v>
      </c>
    </row>
    <row r="791" spans="25:33" x14ac:dyDescent="0.25">
      <c r="Y791" s="10">
        <v>3</v>
      </c>
      <c r="Z791" s="10" t="s">
        <v>1051</v>
      </c>
      <c r="AA791" s="10" t="s">
        <v>25</v>
      </c>
      <c r="AB791" s="10"/>
      <c r="AC791" s="10" t="s">
        <v>462</v>
      </c>
      <c r="AD791" s="10" t="s">
        <v>27</v>
      </c>
      <c r="AE791" s="10"/>
      <c r="AF791" s="10"/>
      <c r="AG791" s="10">
        <v>2</v>
      </c>
    </row>
    <row r="792" spans="25:33" x14ac:dyDescent="0.25">
      <c r="Y792" s="10">
        <v>3</v>
      </c>
      <c r="Z792" s="10" t="s">
        <v>233</v>
      </c>
      <c r="AA792" s="10" t="s">
        <v>25</v>
      </c>
      <c r="AB792" s="10" t="s">
        <v>234</v>
      </c>
      <c r="AC792" s="10" t="s">
        <v>235</v>
      </c>
      <c r="AD792" s="10" t="s">
        <v>236</v>
      </c>
      <c r="AE792" s="10">
        <v>8.4709199999999998E-3</v>
      </c>
      <c r="AF792" s="10"/>
      <c r="AG792" s="10">
        <v>2</v>
      </c>
    </row>
    <row r="793" spans="25:33" x14ac:dyDescent="0.25">
      <c r="Y793" s="10">
        <v>3</v>
      </c>
      <c r="Z793" s="10" t="s">
        <v>508</v>
      </c>
      <c r="AA793" s="10" t="s">
        <v>25</v>
      </c>
      <c r="AB793" s="10"/>
      <c r="AC793" s="10" t="s">
        <v>464</v>
      </c>
      <c r="AD793" s="10" t="s">
        <v>27</v>
      </c>
      <c r="AE793" s="10"/>
      <c r="AF793" s="10"/>
      <c r="AG793" s="10">
        <v>2</v>
      </c>
    </row>
    <row r="794" spans="25:33" x14ac:dyDescent="0.25">
      <c r="Y794" s="10">
        <v>3</v>
      </c>
      <c r="Z794" s="10" t="s">
        <v>946</v>
      </c>
      <c r="AA794" s="10" t="s">
        <v>25</v>
      </c>
      <c r="AB794" s="10"/>
      <c r="AC794" s="10" t="s">
        <v>947</v>
      </c>
      <c r="AD794" s="10" t="s">
        <v>335</v>
      </c>
      <c r="AE794" s="10"/>
      <c r="AF794" s="10"/>
      <c r="AG794" s="10">
        <v>4</v>
      </c>
    </row>
    <row r="795" spans="25:33" x14ac:dyDescent="0.25">
      <c r="Y795" s="10">
        <v>3</v>
      </c>
      <c r="Z795" s="10" t="s">
        <v>248</v>
      </c>
      <c r="AA795" s="10" t="s">
        <v>25</v>
      </c>
      <c r="AB795" s="10" t="s">
        <v>7</v>
      </c>
      <c r="AC795" s="10" t="s">
        <v>7</v>
      </c>
      <c r="AD795" s="10" t="s">
        <v>27</v>
      </c>
      <c r="AE795" s="10">
        <v>1.29429E-3</v>
      </c>
      <c r="AF795" s="10"/>
      <c r="AG795" s="10">
        <v>6</v>
      </c>
    </row>
    <row r="796" spans="25:33" x14ac:dyDescent="0.25">
      <c r="Y796" s="10">
        <v>3</v>
      </c>
      <c r="Z796" s="10" t="s">
        <v>1052</v>
      </c>
      <c r="AA796" s="10" t="s">
        <v>25</v>
      </c>
      <c r="AB796" s="10"/>
      <c r="AC796" s="10" t="s">
        <v>671</v>
      </c>
      <c r="AD796" s="10" t="s">
        <v>27</v>
      </c>
      <c r="AE796" s="10"/>
      <c r="AF796" s="10"/>
      <c r="AG796" s="10">
        <v>12</v>
      </c>
    </row>
    <row r="797" spans="25:33" x14ac:dyDescent="0.25">
      <c r="Y797" s="10">
        <v>3</v>
      </c>
      <c r="Z797" s="10" t="s">
        <v>8</v>
      </c>
      <c r="AA797" s="10" t="s">
        <v>25</v>
      </c>
      <c r="AB797" s="10"/>
      <c r="AC797" s="10" t="s">
        <v>9</v>
      </c>
      <c r="AD797" s="10" t="s">
        <v>27</v>
      </c>
      <c r="AE797" s="10"/>
      <c r="AF797" s="10"/>
      <c r="AG797" s="10">
        <v>14</v>
      </c>
    </row>
    <row r="798" spans="25:33" x14ac:dyDescent="0.25">
      <c r="Y798" s="10">
        <v>3</v>
      </c>
      <c r="Z798" s="10" t="s">
        <v>1053</v>
      </c>
      <c r="AA798" s="10" t="s">
        <v>131</v>
      </c>
      <c r="AB798" s="10" t="s">
        <v>1054</v>
      </c>
      <c r="AC798" s="10" t="s">
        <v>1054</v>
      </c>
      <c r="AF798" s="10" t="s">
        <v>218</v>
      </c>
      <c r="AG798" s="10">
        <v>1</v>
      </c>
    </row>
    <row r="799" spans="25:33" x14ac:dyDescent="0.25">
      <c r="Y799" s="9">
        <v>4</v>
      </c>
      <c r="Z799" s="9" t="s">
        <v>1055</v>
      </c>
      <c r="AA799" s="9" t="s">
        <v>131</v>
      </c>
      <c r="AB799" s="9"/>
      <c r="AC799" s="9" t="s">
        <v>193</v>
      </c>
      <c r="AD799" s="9" t="s">
        <v>335</v>
      </c>
      <c r="AE799" s="9">
        <v>0.109212</v>
      </c>
      <c r="AF799" s="9" t="s">
        <v>218</v>
      </c>
      <c r="AG799" s="9">
        <v>1</v>
      </c>
    </row>
    <row r="800" spans="25:33" x14ac:dyDescent="0.25">
      <c r="Y800" s="9">
        <v>4</v>
      </c>
      <c r="Z800" s="9" t="s">
        <v>1056</v>
      </c>
      <c r="AA800" s="9" t="s">
        <v>25</v>
      </c>
      <c r="AB800" s="9"/>
      <c r="AC800" s="9" t="s">
        <v>1057</v>
      </c>
      <c r="AD800" s="9" t="s">
        <v>27</v>
      </c>
      <c r="AE800" s="9"/>
      <c r="AF800" s="9"/>
      <c r="AG800" s="9">
        <v>3</v>
      </c>
    </row>
    <row r="801" spans="25:33" x14ac:dyDescent="0.25">
      <c r="Y801" s="9">
        <v>4</v>
      </c>
      <c r="Z801" s="9" t="s">
        <v>1058</v>
      </c>
      <c r="AA801" s="9" t="s">
        <v>25</v>
      </c>
      <c r="AB801" s="9" t="s">
        <v>631</v>
      </c>
      <c r="AC801" s="9" t="s">
        <v>631</v>
      </c>
      <c r="AD801" s="9" t="s">
        <v>101</v>
      </c>
      <c r="AE801" s="14">
        <v>9.29983</v>
      </c>
      <c r="AF801" s="9"/>
      <c r="AG801" s="9">
        <v>6</v>
      </c>
    </row>
    <row r="802" spans="25:33" x14ac:dyDescent="0.25">
      <c r="Y802" s="10">
        <v>3</v>
      </c>
      <c r="Z802" s="10" t="s">
        <v>1059</v>
      </c>
      <c r="AA802" s="10" t="s">
        <v>131</v>
      </c>
      <c r="AB802" s="10" t="s">
        <v>1054</v>
      </c>
      <c r="AC802" s="10" t="s">
        <v>1054</v>
      </c>
      <c r="AF802" s="10" t="s">
        <v>218</v>
      </c>
      <c r="AG802" s="10">
        <v>1</v>
      </c>
    </row>
    <row r="803" spans="25:33" x14ac:dyDescent="0.25">
      <c r="Y803" s="9">
        <v>4</v>
      </c>
      <c r="Z803" s="9" t="s">
        <v>1060</v>
      </c>
      <c r="AA803" s="9" t="s">
        <v>131</v>
      </c>
      <c r="AB803" s="9" t="s">
        <v>193</v>
      </c>
      <c r="AC803" s="9" t="s">
        <v>193</v>
      </c>
      <c r="AD803" s="9" t="s">
        <v>335</v>
      </c>
      <c r="AE803" s="9">
        <v>1.24875E-2</v>
      </c>
      <c r="AF803" s="9" t="s">
        <v>218</v>
      </c>
      <c r="AG803" s="9">
        <v>1</v>
      </c>
    </row>
    <row r="804" spans="25:33" x14ac:dyDescent="0.25">
      <c r="Y804" s="9">
        <v>4</v>
      </c>
      <c r="Z804" s="9" t="s">
        <v>1056</v>
      </c>
      <c r="AA804" s="9" t="s">
        <v>25</v>
      </c>
      <c r="AB804" s="9"/>
      <c r="AC804" s="9" t="s">
        <v>1057</v>
      </c>
      <c r="AD804" s="9" t="s">
        <v>27</v>
      </c>
      <c r="AE804" s="9"/>
      <c r="AF804" s="9"/>
      <c r="AG804" s="9">
        <v>3</v>
      </c>
    </row>
    <row r="805" spans="25:33" x14ac:dyDescent="0.25">
      <c r="Y805" s="9">
        <v>4</v>
      </c>
      <c r="Z805" s="9" t="s">
        <v>1058</v>
      </c>
      <c r="AA805" s="9" t="s">
        <v>25</v>
      </c>
      <c r="AB805" s="9" t="s">
        <v>631</v>
      </c>
      <c r="AC805" s="9" t="s">
        <v>631</v>
      </c>
      <c r="AD805" s="9" t="s">
        <v>101</v>
      </c>
      <c r="AE805" s="14">
        <v>9.29983</v>
      </c>
      <c r="AF805" s="9"/>
      <c r="AG805" s="9">
        <v>6</v>
      </c>
    </row>
    <row r="806" spans="25:33" x14ac:dyDescent="0.25">
      <c r="Y806" s="10">
        <v>3</v>
      </c>
      <c r="Z806" s="10" t="s">
        <v>1061</v>
      </c>
      <c r="AA806" s="10" t="s">
        <v>131</v>
      </c>
      <c r="AB806" s="10" t="s">
        <v>1054</v>
      </c>
      <c r="AC806" s="10" t="s">
        <v>1054</v>
      </c>
      <c r="AF806" s="10" t="s">
        <v>218</v>
      </c>
      <c r="AG806" s="10">
        <v>1</v>
      </c>
    </row>
    <row r="807" spans="25:33" x14ac:dyDescent="0.25">
      <c r="Y807" s="9">
        <v>4</v>
      </c>
      <c r="Z807" s="9" t="s">
        <v>1062</v>
      </c>
      <c r="AA807" s="9" t="s">
        <v>131</v>
      </c>
      <c r="AB807" s="9" t="s">
        <v>193</v>
      </c>
      <c r="AC807" s="9" t="s">
        <v>193</v>
      </c>
      <c r="AD807" s="9" t="s">
        <v>335</v>
      </c>
      <c r="AE807" s="9">
        <v>0.109212</v>
      </c>
      <c r="AF807" s="9" t="s">
        <v>218</v>
      </c>
      <c r="AG807" s="9">
        <v>1</v>
      </c>
    </row>
    <row r="808" spans="25:33" x14ac:dyDescent="0.25">
      <c r="Y808" s="9">
        <v>4</v>
      </c>
      <c r="Z808" s="9" t="s">
        <v>1056</v>
      </c>
      <c r="AA808" s="9" t="s">
        <v>25</v>
      </c>
      <c r="AB808" s="9"/>
      <c r="AC808" s="9" t="s">
        <v>1057</v>
      </c>
      <c r="AD808" s="9" t="s">
        <v>27</v>
      </c>
      <c r="AE808" s="9"/>
      <c r="AF808" s="9"/>
      <c r="AG808" s="9">
        <v>3</v>
      </c>
    </row>
    <row r="809" spans="25:33" x14ac:dyDescent="0.25">
      <c r="Y809" s="10">
        <v>3</v>
      </c>
      <c r="Z809" s="10" t="s">
        <v>1063</v>
      </c>
      <c r="AA809" s="10" t="s">
        <v>29</v>
      </c>
      <c r="AB809" s="10" t="s">
        <v>1064</v>
      </c>
      <c r="AC809" s="10" t="s">
        <v>1064</v>
      </c>
      <c r="AD809" s="10" t="s">
        <v>335</v>
      </c>
      <c r="AE809" s="10">
        <v>3.1900699999999997E-2</v>
      </c>
      <c r="AF809" s="10" t="s">
        <v>150</v>
      </c>
      <c r="AG809" s="10">
        <v>1</v>
      </c>
    </row>
    <row r="810" spans="25:33" x14ac:dyDescent="0.25">
      <c r="Y810" s="10">
        <v>3</v>
      </c>
      <c r="Z810" s="10" t="s">
        <v>1065</v>
      </c>
      <c r="AA810" s="10" t="s">
        <v>78</v>
      </c>
      <c r="AB810" s="10" t="s">
        <v>1066</v>
      </c>
      <c r="AC810" s="10" t="s">
        <v>1066</v>
      </c>
      <c r="AD810" s="10" t="s">
        <v>169</v>
      </c>
      <c r="AE810" s="10">
        <v>1.9222999999999999</v>
      </c>
      <c r="AF810" s="10"/>
      <c r="AG810" s="10">
        <v>1</v>
      </c>
    </row>
    <row r="811" spans="25:33" x14ac:dyDescent="0.25">
      <c r="Y811" s="10">
        <v>3</v>
      </c>
      <c r="Z811" s="10" t="s">
        <v>1067</v>
      </c>
      <c r="AA811" s="10" t="s">
        <v>131</v>
      </c>
      <c r="AB811" s="10" t="s">
        <v>1054</v>
      </c>
      <c r="AC811" s="10" t="s">
        <v>1054</v>
      </c>
      <c r="AF811" s="10" t="s">
        <v>218</v>
      </c>
      <c r="AG811" s="10">
        <v>1</v>
      </c>
    </row>
    <row r="812" spans="25:33" x14ac:dyDescent="0.25">
      <c r="Y812" s="9">
        <v>4</v>
      </c>
      <c r="Z812" s="9" t="s">
        <v>1068</v>
      </c>
      <c r="AA812" s="9" t="s">
        <v>131</v>
      </c>
      <c r="AB812" s="9" t="s">
        <v>193</v>
      </c>
      <c r="AC812" s="9" t="s">
        <v>193</v>
      </c>
      <c r="AD812" s="9" t="s">
        <v>335</v>
      </c>
      <c r="AE812" s="9">
        <v>1.0740599999999999E-2</v>
      </c>
      <c r="AF812" s="9" t="s">
        <v>218</v>
      </c>
      <c r="AG812" s="9">
        <v>1</v>
      </c>
    </row>
    <row r="813" spans="25:33" x14ac:dyDescent="0.25">
      <c r="Y813" s="9">
        <v>4</v>
      </c>
      <c r="Z813" s="9" t="s">
        <v>1069</v>
      </c>
      <c r="AA813" s="9" t="s">
        <v>25</v>
      </c>
      <c r="AB813" s="9"/>
      <c r="AC813" s="9" t="s">
        <v>1070</v>
      </c>
      <c r="AD813" s="9" t="s">
        <v>27</v>
      </c>
      <c r="AE813" s="9"/>
      <c r="AF813" s="9"/>
      <c r="AG813" s="9">
        <v>2</v>
      </c>
    </row>
    <row r="814" spans="25:33" x14ac:dyDescent="0.25">
      <c r="Y814" s="9">
        <v>4</v>
      </c>
      <c r="Z814" s="9" t="s">
        <v>1056</v>
      </c>
      <c r="AA814" s="9" t="s">
        <v>25</v>
      </c>
      <c r="AB814" s="9"/>
      <c r="AC814" s="9" t="s">
        <v>1057</v>
      </c>
      <c r="AD814" s="9" t="s">
        <v>27</v>
      </c>
      <c r="AE814" s="9"/>
      <c r="AF814" s="9"/>
      <c r="AG814" s="9">
        <v>2</v>
      </c>
    </row>
    <row r="815" spans="25:33" x14ac:dyDescent="0.25">
      <c r="Y815" s="9">
        <v>4</v>
      </c>
      <c r="Z815" s="9" t="s">
        <v>1058</v>
      </c>
      <c r="AA815" s="9" t="s">
        <v>25</v>
      </c>
      <c r="AB815" s="9" t="s">
        <v>631</v>
      </c>
      <c r="AC815" s="9" t="s">
        <v>631</v>
      </c>
      <c r="AD815" s="9" t="s">
        <v>101</v>
      </c>
      <c r="AE815" s="14">
        <v>9.29983</v>
      </c>
      <c r="AF815" s="9"/>
      <c r="AG815" s="9">
        <v>8</v>
      </c>
    </row>
    <row r="816" spans="25:33" x14ac:dyDescent="0.25">
      <c r="Y816" s="10">
        <v>3</v>
      </c>
      <c r="Z816" s="10" t="s">
        <v>1071</v>
      </c>
      <c r="AA816" s="10" t="s">
        <v>131</v>
      </c>
      <c r="AB816" s="10" t="s">
        <v>1054</v>
      </c>
      <c r="AC816" s="10" t="s">
        <v>1054</v>
      </c>
      <c r="AF816" s="10" t="s">
        <v>218</v>
      </c>
      <c r="AG816" s="10">
        <v>1</v>
      </c>
    </row>
    <row r="817" spans="25:33" x14ac:dyDescent="0.25">
      <c r="Y817" s="9">
        <v>4</v>
      </c>
      <c r="Z817" s="9" t="s">
        <v>1072</v>
      </c>
      <c r="AA817" s="9" t="s">
        <v>131</v>
      </c>
      <c r="AB817" s="9" t="s">
        <v>193</v>
      </c>
      <c r="AC817" s="9" t="s">
        <v>193</v>
      </c>
      <c r="AD817" s="9" t="s">
        <v>335</v>
      </c>
      <c r="AE817" s="9">
        <v>1.08562E-2</v>
      </c>
      <c r="AF817" s="9" t="s">
        <v>218</v>
      </c>
      <c r="AG817" s="9">
        <v>1</v>
      </c>
    </row>
    <row r="818" spans="25:33" x14ac:dyDescent="0.25">
      <c r="Y818" s="9">
        <v>4</v>
      </c>
      <c r="Z818" s="9" t="s">
        <v>1069</v>
      </c>
      <c r="AA818" s="9" t="s">
        <v>25</v>
      </c>
      <c r="AB818" s="9"/>
      <c r="AC818" s="9" t="s">
        <v>1070</v>
      </c>
      <c r="AD818" s="9" t="s">
        <v>27</v>
      </c>
      <c r="AE818" s="9"/>
      <c r="AF818" s="9"/>
      <c r="AG818" s="9">
        <v>2</v>
      </c>
    </row>
    <row r="819" spans="25:33" x14ac:dyDescent="0.25">
      <c r="Y819" s="9">
        <v>4</v>
      </c>
      <c r="Z819" s="9" t="s">
        <v>1058</v>
      </c>
      <c r="AA819" s="9" t="s">
        <v>25</v>
      </c>
      <c r="AB819" s="9" t="s">
        <v>631</v>
      </c>
      <c r="AC819" s="9" t="s">
        <v>631</v>
      </c>
      <c r="AD819" s="9" t="s">
        <v>101</v>
      </c>
      <c r="AE819" s="14">
        <v>9.29983</v>
      </c>
      <c r="AF819" s="9"/>
      <c r="AG819" s="9">
        <v>4</v>
      </c>
    </row>
    <row r="820" spans="25:33" x14ac:dyDescent="0.25">
      <c r="Y820" s="9">
        <v>2</v>
      </c>
      <c r="Z820" s="9" t="s">
        <v>1089</v>
      </c>
      <c r="AA820" s="9" t="s">
        <v>25</v>
      </c>
      <c r="AB820" s="9" t="s">
        <v>1090</v>
      </c>
      <c r="AC820" s="9" t="s">
        <v>1090</v>
      </c>
      <c r="AF820" s="9"/>
      <c r="AG820" s="9">
        <v>1</v>
      </c>
    </row>
    <row r="821" spans="25:33" x14ac:dyDescent="0.25">
      <c r="Y821" s="10">
        <v>3</v>
      </c>
      <c r="Z821" s="10" t="s">
        <v>1091</v>
      </c>
      <c r="AA821" s="10" t="s">
        <v>25</v>
      </c>
      <c r="AB821" s="10" t="s">
        <v>981</v>
      </c>
      <c r="AC821" s="10" t="s">
        <v>981</v>
      </c>
      <c r="AD821" s="10" t="s">
        <v>335</v>
      </c>
      <c r="AE821" s="10">
        <v>2.95879E-2</v>
      </c>
      <c r="AF821" s="10"/>
      <c r="AG821" s="10">
        <v>1</v>
      </c>
    </row>
    <row r="822" spans="25:33" x14ac:dyDescent="0.25">
      <c r="Y822" s="10">
        <v>3</v>
      </c>
      <c r="Z822" s="10" t="s">
        <v>665</v>
      </c>
      <c r="AA822" s="10" t="s">
        <v>25</v>
      </c>
      <c r="AB822" s="10"/>
      <c r="AC822" s="10" t="s">
        <v>666</v>
      </c>
      <c r="AD822" s="10" t="s">
        <v>27</v>
      </c>
      <c r="AE822" s="10"/>
      <c r="AF822" s="10"/>
      <c r="AG822" s="10">
        <v>2</v>
      </c>
    </row>
    <row r="823" spans="25:33" x14ac:dyDescent="0.25">
      <c r="Y823" s="10">
        <v>3</v>
      </c>
      <c r="Z823" s="10" t="s">
        <v>630</v>
      </c>
      <c r="AA823" s="10" t="s">
        <v>25</v>
      </c>
      <c r="AB823" s="10" t="s">
        <v>631</v>
      </c>
      <c r="AC823" s="10" t="s">
        <v>631</v>
      </c>
      <c r="AD823" s="10" t="s">
        <v>101</v>
      </c>
      <c r="AE823" s="13">
        <v>7.2727799999999998E-5</v>
      </c>
      <c r="AF823" s="10"/>
      <c r="AG823" s="10">
        <v>4</v>
      </c>
    </row>
    <row r="824" spans="25:33" x14ac:dyDescent="0.25">
      <c r="Y824" s="9">
        <v>2</v>
      </c>
      <c r="Z824" s="9" t="s">
        <v>1092</v>
      </c>
      <c r="AA824" s="9" t="s">
        <v>54</v>
      </c>
      <c r="AB824" s="9" t="s">
        <v>1093</v>
      </c>
      <c r="AC824" s="9" t="s">
        <v>1093</v>
      </c>
      <c r="AD824" s="9" t="s">
        <v>335</v>
      </c>
      <c r="AE824" s="9">
        <v>7.9068899999999998E-2</v>
      </c>
      <c r="AF824" s="9" t="s">
        <v>102</v>
      </c>
      <c r="AG824" s="9">
        <v>1</v>
      </c>
    </row>
    <row r="825" spans="25:33" x14ac:dyDescent="0.25">
      <c r="Y825" s="9">
        <v>2</v>
      </c>
      <c r="Z825" s="9" t="s">
        <v>1094</v>
      </c>
      <c r="AA825" s="9" t="s">
        <v>70</v>
      </c>
      <c r="AB825" s="9" t="s">
        <v>1095</v>
      </c>
      <c r="AC825" s="9" t="s">
        <v>1095</v>
      </c>
      <c r="AF825" s="9" t="s">
        <v>218</v>
      </c>
      <c r="AG825" s="9">
        <v>1</v>
      </c>
    </row>
    <row r="826" spans="25:33" x14ac:dyDescent="0.25">
      <c r="Y826" s="10">
        <v>3</v>
      </c>
      <c r="Z826" s="10" t="s">
        <v>1096</v>
      </c>
      <c r="AA826" s="10" t="s">
        <v>70</v>
      </c>
      <c r="AB826" s="10" t="s">
        <v>1097</v>
      </c>
      <c r="AC826" s="10" t="s">
        <v>1098</v>
      </c>
      <c r="AF826" s="10" t="s">
        <v>218</v>
      </c>
      <c r="AG826" s="10">
        <v>1</v>
      </c>
    </row>
    <row r="827" spans="25:33" x14ac:dyDescent="0.25">
      <c r="Y827" s="9">
        <v>4</v>
      </c>
      <c r="Z827" s="9" t="s">
        <v>1099</v>
      </c>
      <c r="AA827" s="9" t="s">
        <v>70</v>
      </c>
      <c r="AB827" s="9" t="s">
        <v>1100</v>
      </c>
      <c r="AC827" s="9" t="s">
        <v>1100</v>
      </c>
      <c r="AD827" s="9" t="s">
        <v>612</v>
      </c>
      <c r="AE827" s="9">
        <v>0.10281800000000001</v>
      </c>
      <c r="AF827" s="9" t="s">
        <v>218</v>
      </c>
      <c r="AG827" s="9">
        <v>1</v>
      </c>
    </row>
    <row r="828" spans="25:33" x14ac:dyDescent="0.25">
      <c r="Y828" s="9">
        <v>4</v>
      </c>
      <c r="Z828" s="9" t="s">
        <v>1101</v>
      </c>
      <c r="AA828" s="9" t="s">
        <v>70</v>
      </c>
      <c r="AB828" s="9" t="s">
        <v>291</v>
      </c>
      <c r="AC828" s="9" t="s">
        <v>291</v>
      </c>
      <c r="AD828" s="9" t="s">
        <v>292</v>
      </c>
      <c r="AE828" s="9">
        <v>3.82686E-2</v>
      </c>
      <c r="AF828" s="9" t="s">
        <v>218</v>
      </c>
      <c r="AG828" s="9">
        <v>1</v>
      </c>
    </row>
    <row r="829" spans="25:33" x14ac:dyDescent="0.25">
      <c r="Y829" s="9">
        <v>4</v>
      </c>
      <c r="Z829" s="9" t="s">
        <v>1102</v>
      </c>
      <c r="AA829" s="9" t="s">
        <v>70</v>
      </c>
      <c r="AB829" s="9" t="s">
        <v>1103</v>
      </c>
      <c r="AC829" s="9" t="s">
        <v>1103</v>
      </c>
      <c r="AD829" s="9" t="s">
        <v>297</v>
      </c>
      <c r="AE829" s="9">
        <v>0.13431799999999999</v>
      </c>
      <c r="AF829" s="9" t="s">
        <v>218</v>
      </c>
      <c r="AG829" s="9">
        <v>1</v>
      </c>
    </row>
    <row r="830" spans="25:33" x14ac:dyDescent="0.25">
      <c r="Y830" s="9">
        <v>4</v>
      </c>
      <c r="Z830" s="9" t="s">
        <v>67</v>
      </c>
      <c r="AA830" s="9" t="s">
        <v>25</v>
      </c>
      <c r="AB830" s="9" t="s">
        <v>68</v>
      </c>
      <c r="AC830" s="9" t="s">
        <v>68</v>
      </c>
      <c r="AD830" s="9" t="s">
        <v>27</v>
      </c>
      <c r="AE830" s="9"/>
      <c r="AF830" s="9"/>
      <c r="AG830" s="9">
        <v>4</v>
      </c>
    </row>
    <row r="831" spans="25:33" x14ac:dyDescent="0.25">
      <c r="Y831" s="10">
        <v>3</v>
      </c>
      <c r="Z831" s="10" t="s">
        <v>1104</v>
      </c>
      <c r="AA831" s="10" t="s">
        <v>70</v>
      </c>
      <c r="AB831" s="10" t="s">
        <v>1105</v>
      </c>
      <c r="AC831" s="10" t="s">
        <v>1098</v>
      </c>
      <c r="AF831" s="10" t="s">
        <v>218</v>
      </c>
      <c r="AG831" s="10">
        <v>1</v>
      </c>
    </row>
    <row r="832" spans="25:33" x14ac:dyDescent="0.25">
      <c r="Y832" s="9">
        <v>4</v>
      </c>
      <c r="Z832" s="9" t="s">
        <v>1106</v>
      </c>
      <c r="AA832" s="9" t="s">
        <v>70</v>
      </c>
      <c r="AB832" s="9" t="s">
        <v>1100</v>
      </c>
      <c r="AC832" s="9" t="s">
        <v>1107</v>
      </c>
      <c r="AD832" s="9" t="s">
        <v>612</v>
      </c>
      <c r="AE832" s="9">
        <v>0.10595400000000001</v>
      </c>
      <c r="AF832" s="9" t="s">
        <v>218</v>
      </c>
      <c r="AG832" s="9">
        <v>1</v>
      </c>
    </row>
    <row r="833" spans="25:33" x14ac:dyDescent="0.25">
      <c r="Y833" s="9">
        <v>4</v>
      </c>
      <c r="Z833" s="9" t="s">
        <v>1108</v>
      </c>
      <c r="AA833" s="9" t="s">
        <v>70</v>
      </c>
      <c r="AB833" s="9"/>
      <c r="AC833" s="9" t="s">
        <v>291</v>
      </c>
      <c r="AD833" s="9" t="s">
        <v>292</v>
      </c>
      <c r="AE833" s="9">
        <v>3.9328000000000002E-2</v>
      </c>
      <c r="AF833" s="9" t="s">
        <v>218</v>
      </c>
      <c r="AG833" s="9">
        <v>1</v>
      </c>
    </row>
    <row r="834" spans="25:33" x14ac:dyDescent="0.25">
      <c r="Y834" s="9">
        <v>4</v>
      </c>
      <c r="Z834" s="9" t="s">
        <v>1109</v>
      </c>
      <c r="AA834" s="9" t="s">
        <v>70</v>
      </c>
      <c r="AB834" s="9"/>
      <c r="AC834" s="9" t="s">
        <v>1103</v>
      </c>
      <c r="AD834" s="9" t="s">
        <v>297</v>
      </c>
      <c r="AE834" s="9">
        <v>0.13856099999999999</v>
      </c>
      <c r="AF834" s="9" t="s">
        <v>218</v>
      </c>
      <c r="AG834" s="9">
        <v>1</v>
      </c>
    </row>
    <row r="835" spans="25:33" x14ac:dyDescent="0.25">
      <c r="Y835" s="9">
        <v>4</v>
      </c>
      <c r="Z835" s="9" t="s">
        <v>67</v>
      </c>
      <c r="AA835" s="9" t="s">
        <v>25</v>
      </c>
      <c r="AB835" s="9" t="s">
        <v>68</v>
      </c>
      <c r="AC835" s="9" t="s">
        <v>68</v>
      </c>
      <c r="AD835" s="9" t="s">
        <v>27</v>
      </c>
      <c r="AE835" s="9"/>
      <c r="AF835" s="9"/>
      <c r="AG835" s="9">
        <v>4</v>
      </c>
    </row>
    <row r="836" spans="25:33" x14ac:dyDescent="0.25">
      <c r="Y836" s="10">
        <v>3</v>
      </c>
      <c r="Z836" s="10" t="s">
        <v>1110</v>
      </c>
      <c r="AA836" s="10" t="s">
        <v>70</v>
      </c>
      <c r="AB836" s="10" t="s">
        <v>1111</v>
      </c>
      <c r="AC836" s="10" t="s">
        <v>1098</v>
      </c>
      <c r="AF836" s="10" t="s">
        <v>218</v>
      </c>
      <c r="AG836" s="10">
        <v>1</v>
      </c>
    </row>
    <row r="837" spans="25:33" x14ac:dyDescent="0.25">
      <c r="Y837" s="9">
        <v>4</v>
      </c>
      <c r="Z837" s="9" t="s">
        <v>1112</v>
      </c>
      <c r="AA837" s="9" t="s">
        <v>70</v>
      </c>
      <c r="AB837" s="9" t="s">
        <v>1113</v>
      </c>
      <c r="AC837" s="9" t="s">
        <v>1114</v>
      </c>
      <c r="AD837" s="9" t="s">
        <v>612</v>
      </c>
      <c r="AE837" s="9">
        <v>0.64374100000000001</v>
      </c>
      <c r="AF837" s="9" t="s">
        <v>218</v>
      </c>
      <c r="AG837" s="9">
        <v>1</v>
      </c>
    </row>
    <row r="838" spans="25:33" x14ac:dyDescent="0.25">
      <c r="Y838" s="9">
        <v>4</v>
      </c>
      <c r="Z838" s="9" t="s">
        <v>1115</v>
      </c>
      <c r="AA838" s="9" t="s">
        <v>70</v>
      </c>
      <c r="AB838" s="9" t="s">
        <v>1116</v>
      </c>
      <c r="AC838" s="9" t="s">
        <v>1116</v>
      </c>
      <c r="AF838" s="9" t="s">
        <v>218</v>
      </c>
      <c r="AG838" s="9">
        <v>1</v>
      </c>
    </row>
    <row r="839" spans="25:33" x14ac:dyDescent="0.25">
      <c r="Y839" s="10">
        <v>5</v>
      </c>
      <c r="Z839" s="10" t="s">
        <v>1117</v>
      </c>
      <c r="AA839" s="10" t="s">
        <v>25</v>
      </c>
      <c r="AB839" s="10" t="s">
        <v>1118</v>
      </c>
      <c r="AC839" s="10"/>
      <c r="AD839" s="10"/>
      <c r="AE839" s="10">
        <v>0</v>
      </c>
      <c r="AF839" s="10"/>
      <c r="AG839" s="10">
        <v>1</v>
      </c>
    </row>
    <row r="840" spans="25:33" x14ac:dyDescent="0.25">
      <c r="Y840" s="10">
        <v>5</v>
      </c>
      <c r="Z840" s="10" t="s">
        <v>1119</v>
      </c>
      <c r="AA840" s="10" t="s">
        <v>78</v>
      </c>
      <c r="AB840" s="10" t="s">
        <v>1120</v>
      </c>
      <c r="AC840" s="10" t="s">
        <v>1120</v>
      </c>
      <c r="AD840" s="10" t="s">
        <v>101</v>
      </c>
      <c r="AE840" s="10">
        <v>3.1795200000000003E-2</v>
      </c>
      <c r="AF840" s="10" t="s">
        <v>150</v>
      </c>
      <c r="AG840" s="10">
        <v>1</v>
      </c>
    </row>
    <row r="841" spans="25:33" x14ac:dyDescent="0.25">
      <c r="Y841" s="10">
        <v>5</v>
      </c>
      <c r="Z841" s="10" t="s">
        <v>258</v>
      </c>
      <c r="AA841" s="10" t="s">
        <v>25</v>
      </c>
      <c r="AB841" s="10"/>
      <c r="AC841" s="10" t="s">
        <v>178</v>
      </c>
      <c r="AD841" s="10" t="s">
        <v>27</v>
      </c>
      <c r="AE841" s="10"/>
      <c r="AF841" s="10"/>
      <c r="AG841" s="10">
        <v>2</v>
      </c>
    </row>
    <row r="842" spans="25:33" x14ac:dyDescent="0.25">
      <c r="Y842" s="9">
        <v>4</v>
      </c>
      <c r="Z842" s="9" t="s">
        <v>1121</v>
      </c>
      <c r="AA842" s="9" t="s">
        <v>70</v>
      </c>
      <c r="AB842" s="9"/>
      <c r="AC842" s="9" t="s">
        <v>291</v>
      </c>
      <c r="AD842" s="9" t="s">
        <v>292</v>
      </c>
      <c r="AE842" s="9">
        <v>6.3781500000000005E-2</v>
      </c>
      <c r="AF842" s="9" t="s">
        <v>218</v>
      </c>
      <c r="AG842" s="9">
        <v>1</v>
      </c>
    </row>
    <row r="843" spans="25:33" x14ac:dyDescent="0.25">
      <c r="Y843" s="9">
        <v>4</v>
      </c>
      <c r="Z843" s="9" t="s">
        <v>1122</v>
      </c>
      <c r="AA843" s="9" t="s">
        <v>70</v>
      </c>
      <c r="AB843" s="9"/>
      <c r="AC843" s="9" t="s">
        <v>1103</v>
      </c>
      <c r="AD843" s="9" t="s">
        <v>297</v>
      </c>
      <c r="AE843" s="9">
        <v>0.84619200000000006</v>
      </c>
      <c r="AF843" s="9" t="s">
        <v>218</v>
      </c>
      <c r="AG843" s="9">
        <v>1</v>
      </c>
    </row>
    <row r="844" spans="25:33" x14ac:dyDescent="0.25">
      <c r="Y844" s="9">
        <v>4</v>
      </c>
      <c r="Z844" s="9" t="s">
        <v>49</v>
      </c>
      <c r="AA844" s="9" t="s">
        <v>25</v>
      </c>
      <c r="AB844" s="9" t="s">
        <v>50</v>
      </c>
      <c r="AC844" s="9" t="s">
        <v>50</v>
      </c>
      <c r="AD844" s="9" t="s">
        <v>27</v>
      </c>
      <c r="AE844" s="9"/>
      <c r="AF844" s="9"/>
      <c r="AG844" s="9">
        <v>4</v>
      </c>
    </row>
    <row r="845" spans="25:33" x14ac:dyDescent="0.25">
      <c r="Y845" s="10">
        <v>3</v>
      </c>
      <c r="Z845" s="10" t="s">
        <v>1123</v>
      </c>
      <c r="AA845" s="10" t="s">
        <v>70</v>
      </c>
      <c r="AB845" s="10" t="s">
        <v>1124</v>
      </c>
      <c r="AC845" s="10" t="s">
        <v>1098</v>
      </c>
      <c r="AF845" s="10" t="s">
        <v>218</v>
      </c>
      <c r="AG845" s="10">
        <v>1</v>
      </c>
    </row>
    <row r="846" spans="25:33" x14ac:dyDescent="0.25">
      <c r="Y846" s="9">
        <v>4</v>
      </c>
      <c r="Z846" s="9" t="s">
        <v>1115</v>
      </c>
      <c r="AA846" s="9" t="s">
        <v>70</v>
      </c>
      <c r="AB846" s="9" t="s">
        <v>1116</v>
      </c>
      <c r="AC846" s="9" t="s">
        <v>1116</v>
      </c>
      <c r="AF846" s="9" t="s">
        <v>218</v>
      </c>
      <c r="AG846" s="9">
        <v>1</v>
      </c>
    </row>
    <row r="847" spans="25:33" x14ac:dyDescent="0.25">
      <c r="Y847" s="10">
        <v>5</v>
      </c>
      <c r="Z847" s="10" t="s">
        <v>1117</v>
      </c>
      <c r="AA847" s="10" t="s">
        <v>25</v>
      </c>
      <c r="AB847" s="10" t="s">
        <v>1118</v>
      </c>
      <c r="AC847" s="10"/>
      <c r="AD847" s="10"/>
      <c r="AE847" s="10">
        <v>0</v>
      </c>
      <c r="AF847" s="10"/>
      <c r="AG847" s="10">
        <v>1</v>
      </c>
    </row>
    <row r="848" spans="25:33" x14ac:dyDescent="0.25">
      <c r="Y848" s="10">
        <v>5</v>
      </c>
      <c r="Z848" s="10" t="s">
        <v>1119</v>
      </c>
      <c r="AA848" s="10" t="s">
        <v>78</v>
      </c>
      <c r="AB848" s="10" t="s">
        <v>1120</v>
      </c>
      <c r="AC848" s="10" t="s">
        <v>1120</v>
      </c>
      <c r="AD848" s="10" t="s">
        <v>101</v>
      </c>
      <c r="AE848" s="10">
        <v>3.1795200000000003E-2</v>
      </c>
      <c r="AF848" s="10" t="s">
        <v>150</v>
      </c>
      <c r="AG848" s="10">
        <v>1</v>
      </c>
    </row>
    <row r="849" spans="25:33" x14ac:dyDescent="0.25">
      <c r="Y849" s="10">
        <v>5</v>
      </c>
      <c r="Z849" s="10" t="s">
        <v>258</v>
      </c>
      <c r="AA849" s="10" t="s">
        <v>25</v>
      </c>
      <c r="AB849" s="10"/>
      <c r="AC849" s="10" t="s">
        <v>178</v>
      </c>
      <c r="AD849" s="10" t="s">
        <v>27</v>
      </c>
      <c r="AE849" s="10"/>
      <c r="AF849" s="10"/>
      <c r="AG849" s="10">
        <v>2</v>
      </c>
    </row>
    <row r="850" spans="25:33" x14ac:dyDescent="0.25">
      <c r="Y850" s="9">
        <v>4</v>
      </c>
      <c r="Z850" s="9" t="s">
        <v>1125</v>
      </c>
      <c r="AA850" s="9" t="s">
        <v>70</v>
      </c>
      <c r="AB850" s="9"/>
      <c r="AC850" s="9" t="s">
        <v>1103</v>
      </c>
      <c r="AD850" s="9" t="s">
        <v>297</v>
      </c>
      <c r="AE850" s="9">
        <v>0.33898</v>
      </c>
      <c r="AF850" s="9" t="s">
        <v>218</v>
      </c>
      <c r="AG850" s="9">
        <v>1</v>
      </c>
    </row>
    <row r="851" spans="25:33" x14ac:dyDescent="0.25">
      <c r="Y851" s="9">
        <v>4</v>
      </c>
      <c r="Z851" s="9" t="s">
        <v>1126</v>
      </c>
      <c r="AA851" s="9" t="s">
        <v>70</v>
      </c>
      <c r="AB851" s="9"/>
      <c r="AC851" s="9" t="s">
        <v>291</v>
      </c>
      <c r="AD851" s="9" t="s">
        <v>292</v>
      </c>
      <c r="AE851" s="9">
        <v>4.6390599999999997E-2</v>
      </c>
      <c r="AF851" s="9" t="s">
        <v>218</v>
      </c>
      <c r="AG851" s="9">
        <v>1</v>
      </c>
    </row>
    <row r="852" spans="25:33" x14ac:dyDescent="0.25">
      <c r="Y852" s="9">
        <v>4</v>
      </c>
      <c r="Z852" s="9" t="s">
        <v>1127</v>
      </c>
      <c r="AA852" s="9" t="s">
        <v>70</v>
      </c>
      <c r="AB852" s="9" t="s">
        <v>1128</v>
      </c>
      <c r="AC852" s="9" t="s">
        <v>1100</v>
      </c>
      <c r="AD852" s="9" t="s">
        <v>612</v>
      </c>
      <c r="AE852" s="9">
        <v>0.256712</v>
      </c>
      <c r="AF852" s="9" t="s">
        <v>218</v>
      </c>
      <c r="AG852" s="9">
        <v>1</v>
      </c>
    </row>
    <row r="853" spans="25:33" x14ac:dyDescent="0.25">
      <c r="Y853" s="9">
        <v>4</v>
      </c>
      <c r="Z853" s="9" t="s">
        <v>67</v>
      </c>
      <c r="AA853" s="9" t="s">
        <v>25</v>
      </c>
      <c r="AB853" s="9" t="s">
        <v>68</v>
      </c>
      <c r="AC853" s="9" t="s">
        <v>68</v>
      </c>
      <c r="AD853" s="9" t="s">
        <v>27</v>
      </c>
      <c r="AE853" s="9"/>
      <c r="AF853" s="9"/>
      <c r="AG853" s="9">
        <v>4</v>
      </c>
    </row>
    <row r="854" spans="25:33" x14ac:dyDescent="0.25">
      <c r="Y854" s="9">
        <v>4</v>
      </c>
      <c r="Z854" s="9" t="s">
        <v>261</v>
      </c>
      <c r="AA854" s="9" t="s">
        <v>25</v>
      </c>
      <c r="AB854" s="9"/>
      <c r="AC854" s="9" t="s">
        <v>9</v>
      </c>
      <c r="AD854" s="9" t="s">
        <v>27</v>
      </c>
      <c r="AE854" s="9"/>
      <c r="AF854" s="9"/>
      <c r="AG854" s="9">
        <v>4</v>
      </c>
    </row>
    <row r="855" spans="25:33" x14ac:dyDescent="0.25">
      <c r="Y855" s="10">
        <v>3</v>
      </c>
      <c r="Z855" s="10" t="s">
        <v>1129</v>
      </c>
      <c r="AA855" s="10" t="s">
        <v>70</v>
      </c>
      <c r="AB855" s="10" t="s">
        <v>1130</v>
      </c>
      <c r="AC855" s="10" t="s">
        <v>1098</v>
      </c>
      <c r="AF855" s="10" t="s">
        <v>218</v>
      </c>
      <c r="AG855" s="10">
        <v>1</v>
      </c>
    </row>
    <row r="856" spans="25:33" x14ac:dyDescent="0.25">
      <c r="Y856" s="9">
        <v>4</v>
      </c>
      <c r="Z856" s="9" t="s">
        <v>1115</v>
      </c>
      <c r="AA856" s="9" t="s">
        <v>70</v>
      </c>
      <c r="AB856" s="9" t="s">
        <v>1116</v>
      </c>
      <c r="AC856" s="9" t="s">
        <v>1116</v>
      </c>
      <c r="AF856" s="9" t="s">
        <v>218</v>
      </c>
      <c r="AG856" s="9">
        <v>1</v>
      </c>
    </row>
    <row r="857" spans="25:33" x14ac:dyDescent="0.25">
      <c r="Y857" s="10">
        <v>5</v>
      </c>
      <c r="Z857" s="10" t="s">
        <v>1117</v>
      </c>
      <c r="AA857" s="10" t="s">
        <v>25</v>
      </c>
      <c r="AB857" s="10" t="s">
        <v>1118</v>
      </c>
      <c r="AC857" s="10"/>
      <c r="AD857" s="10"/>
      <c r="AE857" s="10">
        <v>0</v>
      </c>
      <c r="AF857" s="10"/>
      <c r="AG857" s="10">
        <v>1</v>
      </c>
    </row>
    <row r="858" spans="25:33" x14ac:dyDescent="0.25">
      <c r="Y858" s="10">
        <v>5</v>
      </c>
      <c r="Z858" s="10" t="s">
        <v>1119</v>
      </c>
      <c r="AA858" s="10" t="s">
        <v>78</v>
      </c>
      <c r="AB858" s="10" t="s">
        <v>1120</v>
      </c>
      <c r="AC858" s="10" t="s">
        <v>1120</v>
      </c>
      <c r="AD858" s="10" t="s">
        <v>101</v>
      </c>
      <c r="AE858" s="10">
        <v>3.1795200000000003E-2</v>
      </c>
      <c r="AF858" s="10" t="s">
        <v>150</v>
      </c>
      <c r="AG858" s="10">
        <v>1</v>
      </c>
    </row>
    <row r="859" spans="25:33" x14ac:dyDescent="0.25">
      <c r="Y859" s="10">
        <v>5</v>
      </c>
      <c r="Z859" s="10" t="s">
        <v>258</v>
      </c>
      <c r="AA859" s="10" t="s">
        <v>25</v>
      </c>
      <c r="AB859" s="10"/>
      <c r="AC859" s="10" t="s">
        <v>178</v>
      </c>
      <c r="AD859" s="10" t="s">
        <v>27</v>
      </c>
      <c r="AE859" s="10"/>
      <c r="AF859" s="10"/>
      <c r="AG859" s="10">
        <v>2</v>
      </c>
    </row>
    <row r="860" spans="25:33" x14ac:dyDescent="0.25">
      <c r="Y860" s="9">
        <v>4</v>
      </c>
      <c r="Z860" s="9" t="s">
        <v>1131</v>
      </c>
      <c r="AA860" s="9" t="s">
        <v>70</v>
      </c>
      <c r="AB860" s="9"/>
      <c r="AC860" s="9" t="s">
        <v>1103</v>
      </c>
      <c r="AD860" s="9" t="s">
        <v>297</v>
      </c>
      <c r="AE860" s="9">
        <v>0.288331</v>
      </c>
      <c r="AF860" s="9" t="s">
        <v>218</v>
      </c>
      <c r="AG860" s="9">
        <v>1</v>
      </c>
    </row>
    <row r="861" spans="25:33" x14ac:dyDescent="0.25">
      <c r="Y861" s="9">
        <v>4</v>
      </c>
      <c r="Z861" s="9" t="s">
        <v>1132</v>
      </c>
      <c r="AA861" s="9" t="s">
        <v>70</v>
      </c>
      <c r="AB861" s="9"/>
      <c r="AC861" s="9" t="s">
        <v>291</v>
      </c>
      <c r="AD861" s="9" t="s">
        <v>292</v>
      </c>
      <c r="AE861" s="9">
        <v>4.4641100000000003E-2</v>
      </c>
      <c r="AF861" s="9" t="s">
        <v>218</v>
      </c>
      <c r="AG861" s="9">
        <v>1</v>
      </c>
    </row>
    <row r="862" spans="25:33" x14ac:dyDescent="0.25">
      <c r="Y862" s="9">
        <v>4</v>
      </c>
      <c r="Z862" s="9" t="s">
        <v>1133</v>
      </c>
      <c r="AA862" s="9" t="s">
        <v>70</v>
      </c>
      <c r="AB862" s="9" t="s">
        <v>1134</v>
      </c>
      <c r="AC862" s="9" t="s">
        <v>1100</v>
      </c>
      <c r="AD862" s="9" t="s">
        <v>612</v>
      </c>
      <c r="AE862" s="9">
        <v>0.21766099999999999</v>
      </c>
      <c r="AF862" s="9" t="s">
        <v>218</v>
      </c>
      <c r="AG862" s="9">
        <v>1</v>
      </c>
    </row>
    <row r="863" spans="25:33" x14ac:dyDescent="0.25">
      <c r="Y863" s="9">
        <v>4</v>
      </c>
      <c r="Z863" s="9" t="s">
        <v>67</v>
      </c>
      <c r="AA863" s="9" t="s">
        <v>25</v>
      </c>
      <c r="AB863" s="9" t="s">
        <v>68</v>
      </c>
      <c r="AC863" s="9" t="s">
        <v>68</v>
      </c>
      <c r="AD863" s="9" t="s">
        <v>27</v>
      </c>
      <c r="AE863" s="9"/>
      <c r="AF863" s="9"/>
      <c r="AG863" s="9">
        <v>4</v>
      </c>
    </row>
    <row r="864" spans="25:33" x14ac:dyDescent="0.25">
      <c r="Y864" s="9">
        <v>4</v>
      </c>
      <c r="Z864" s="9" t="s">
        <v>261</v>
      </c>
      <c r="AA864" s="9" t="s">
        <v>25</v>
      </c>
      <c r="AB864" s="9"/>
      <c r="AC864" s="9" t="s">
        <v>9</v>
      </c>
      <c r="AD864" s="9" t="s">
        <v>27</v>
      </c>
      <c r="AE864" s="9"/>
      <c r="AF864" s="9"/>
      <c r="AG864" s="9">
        <v>4</v>
      </c>
    </row>
    <row r="865" spans="25:33" x14ac:dyDescent="0.25">
      <c r="Y865" s="10">
        <v>3</v>
      </c>
      <c r="Z865" s="10" t="s">
        <v>1135</v>
      </c>
      <c r="AA865" s="10" t="s">
        <v>70</v>
      </c>
      <c r="AB865" s="10" t="s">
        <v>1130</v>
      </c>
      <c r="AC865" s="10" t="s">
        <v>1098</v>
      </c>
      <c r="AF865" s="10" t="s">
        <v>218</v>
      </c>
      <c r="AG865" s="10">
        <v>1</v>
      </c>
    </row>
    <row r="866" spans="25:33" x14ac:dyDescent="0.25">
      <c r="Y866" s="9">
        <v>4</v>
      </c>
      <c r="Z866" s="9" t="s">
        <v>1115</v>
      </c>
      <c r="AA866" s="9" t="s">
        <v>70</v>
      </c>
      <c r="AB866" s="9" t="s">
        <v>1116</v>
      </c>
      <c r="AC866" s="9" t="s">
        <v>1116</v>
      </c>
      <c r="AF866" s="9" t="s">
        <v>218</v>
      </c>
      <c r="AG866" s="9">
        <v>1</v>
      </c>
    </row>
    <row r="867" spans="25:33" x14ac:dyDescent="0.25">
      <c r="Y867" s="10">
        <v>5</v>
      </c>
      <c r="Z867" s="10" t="s">
        <v>1117</v>
      </c>
      <c r="AA867" s="10" t="s">
        <v>25</v>
      </c>
      <c r="AB867" s="10" t="s">
        <v>1118</v>
      </c>
      <c r="AC867" s="10"/>
      <c r="AD867" s="10"/>
      <c r="AE867" s="10">
        <v>0</v>
      </c>
      <c r="AF867" s="10"/>
      <c r="AG867" s="10">
        <v>1</v>
      </c>
    </row>
    <row r="868" spans="25:33" x14ac:dyDescent="0.25">
      <c r="Y868" s="10">
        <v>5</v>
      </c>
      <c r="Z868" s="10" t="s">
        <v>1119</v>
      </c>
      <c r="AA868" s="10" t="s">
        <v>78</v>
      </c>
      <c r="AB868" s="10" t="s">
        <v>1120</v>
      </c>
      <c r="AC868" s="10" t="s">
        <v>1120</v>
      </c>
      <c r="AD868" s="10" t="s">
        <v>101</v>
      </c>
      <c r="AE868" s="10">
        <v>3.1795200000000003E-2</v>
      </c>
      <c r="AF868" s="10" t="s">
        <v>150</v>
      </c>
      <c r="AG868" s="10">
        <v>1</v>
      </c>
    </row>
    <row r="869" spans="25:33" x14ac:dyDescent="0.25">
      <c r="Y869" s="10">
        <v>5</v>
      </c>
      <c r="Z869" s="10" t="s">
        <v>258</v>
      </c>
      <c r="AA869" s="10" t="s">
        <v>25</v>
      </c>
      <c r="AB869" s="10"/>
      <c r="AC869" s="10" t="s">
        <v>178</v>
      </c>
      <c r="AD869" s="10" t="s">
        <v>27</v>
      </c>
      <c r="AE869" s="10"/>
      <c r="AF869" s="10"/>
      <c r="AG869" s="10">
        <v>2</v>
      </c>
    </row>
    <row r="870" spans="25:33" x14ac:dyDescent="0.25">
      <c r="Y870" s="9">
        <v>4</v>
      </c>
      <c r="Z870" s="9" t="s">
        <v>1136</v>
      </c>
      <c r="AA870" s="9" t="s">
        <v>70</v>
      </c>
      <c r="AB870" s="9"/>
      <c r="AC870" s="9" t="s">
        <v>1103</v>
      </c>
      <c r="AD870" s="9" t="s">
        <v>297</v>
      </c>
      <c r="AE870" s="9">
        <v>0.23674899999999999</v>
      </c>
      <c r="AF870" s="9" t="s">
        <v>218</v>
      </c>
      <c r="AG870" s="9">
        <v>1</v>
      </c>
    </row>
    <row r="871" spans="25:33" x14ac:dyDescent="0.25">
      <c r="Y871" s="9">
        <v>4</v>
      </c>
      <c r="Z871" s="9" t="s">
        <v>1137</v>
      </c>
      <c r="AA871" s="9" t="s">
        <v>70</v>
      </c>
      <c r="AB871" s="9"/>
      <c r="AC871" s="9" t="s">
        <v>291</v>
      </c>
      <c r="AD871" s="9" t="s">
        <v>292</v>
      </c>
      <c r="AE871" s="9">
        <v>4.2859300000000003E-2</v>
      </c>
      <c r="AF871" s="9" t="s">
        <v>218</v>
      </c>
      <c r="AG871" s="9">
        <v>1</v>
      </c>
    </row>
    <row r="872" spans="25:33" x14ac:dyDescent="0.25">
      <c r="Y872" s="9">
        <v>4</v>
      </c>
      <c r="Z872" s="9" t="s">
        <v>1138</v>
      </c>
      <c r="AA872" s="9" t="s">
        <v>70</v>
      </c>
      <c r="AB872" s="9" t="s">
        <v>1134</v>
      </c>
      <c r="AC872" s="9" t="s">
        <v>1100</v>
      </c>
      <c r="AD872" s="9" t="s">
        <v>612</v>
      </c>
      <c r="AE872" s="9">
        <v>0.17791699999999999</v>
      </c>
      <c r="AF872" s="9" t="s">
        <v>218</v>
      </c>
      <c r="AG872" s="9">
        <v>1</v>
      </c>
    </row>
    <row r="873" spans="25:33" x14ac:dyDescent="0.25">
      <c r="Y873" s="9">
        <v>4</v>
      </c>
      <c r="Z873" s="9" t="s">
        <v>67</v>
      </c>
      <c r="AA873" s="9" t="s">
        <v>25</v>
      </c>
      <c r="AB873" s="9" t="s">
        <v>68</v>
      </c>
      <c r="AC873" s="9" t="s">
        <v>68</v>
      </c>
      <c r="AD873" s="9" t="s">
        <v>27</v>
      </c>
      <c r="AE873" s="9"/>
      <c r="AF873" s="9"/>
      <c r="AG873" s="9">
        <v>4</v>
      </c>
    </row>
    <row r="874" spans="25:33" x14ac:dyDescent="0.25">
      <c r="Y874" s="9">
        <v>4</v>
      </c>
      <c r="Z874" s="9" t="s">
        <v>261</v>
      </c>
      <c r="AA874" s="9" t="s">
        <v>25</v>
      </c>
      <c r="AB874" s="9"/>
      <c r="AC874" s="9" t="s">
        <v>9</v>
      </c>
      <c r="AD874" s="9" t="s">
        <v>27</v>
      </c>
      <c r="AE874" s="9"/>
      <c r="AF874" s="9"/>
      <c r="AG874" s="9">
        <v>4</v>
      </c>
    </row>
    <row r="875" spans="25:33" x14ac:dyDescent="0.25">
      <c r="Y875" s="10">
        <v>3</v>
      </c>
      <c r="Z875" s="10" t="s">
        <v>1139</v>
      </c>
      <c r="AA875" s="10" t="s">
        <v>70</v>
      </c>
      <c r="AB875" s="10" t="s">
        <v>1124</v>
      </c>
      <c r="AC875" s="10" t="s">
        <v>1098</v>
      </c>
      <c r="AF875" s="10" t="s">
        <v>218</v>
      </c>
      <c r="AG875" s="10">
        <v>1</v>
      </c>
    </row>
    <row r="876" spans="25:33" x14ac:dyDescent="0.25">
      <c r="Y876" s="9">
        <v>4</v>
      </c>
      <c r="Z876" s="9" t="s">
        <v>1115</v>
      </c>
      <c r="AA876" s="9" t="s">
        <v>70</v>
      </c>
      <c r="AB876" s="9" t="s">
        <v>1116</v>
      </c>
      <c r="AC876" s="9" t="s">
        <v>1116</v>
      </c>
      <c r="AF876" s="9" t="s">
        <v>218</v>
      </c>
      <c r="AG876" s="9">
        <v>1</v>
      </c>
    </row>
    <row r="877" spans="25:33" x14ac:dyDescent="0.25">
      <c r="Y877" s="10">
        <v>5</v>
      </c>
      <c r="Z877" s="10" t="s">
        <v>1117</v>
      </c>
      <c r="AA877" s="10" t="s">
        <v>25</v>
      </c>
      <c r="AB877" s="10" t="s">
        <v>1118</v>
      </c>
      <c r="AC877" s="10"/>
      <c r="AD877" s="10"/>
      <c r="AE877" s="10">
        <v>0</v>
      </c>
      <c r="AF877" s="10"/>
      <c r="AG877" s="10">
        <v>1</v>
      </c>
    </row>
    <row r="878" spans="25:33" x14ac:dyDescent="0.25">
      <c r="Y878" s="10">
        <v>5</v>
      </c>
      <c r="Z878" s="10" t="s">
        <v>1119</v>
      </c>
      <c r="AA878" s="10" t="s">
        <v>78</v>
      </c>
      <c r="AB878" s="10" t="s">
        <v>1120</v>
      </c>
      <c r="AC878" s="10" t="s">
        <v>1120</v>
      </c>
      <c r="AD878" s="10" t="s">
        <v>101</v>
      </c>
      <c r="AE878" s="10">
        <v>3.1795200000000003E-2</v>
      </c>
      <c r="AF878" s="10" t="s">
        <v>150</v>
      </c>
      <c r="AG878" s="10">
        <v>1</v>
      </c>
    </row>
    <row r="879" spans="25:33" x14ac:dyDescent="0.25">
      <c r="Y879" s="10">
        <v>5</v>
      </c>
      <c r="Z879" s="10" t="s">
        <v>258</v>
      </c>
      <c r="AA879" s="10" t="s">
        <v>25</v>
      </c>
      <c r="AB879" s="10"/>
      <c r="AC879" s="10" t="s">
        <v>178</v>
      </c>
      <c r="AD879" s="10" t="s">
        <v>27</v>
      </c>
      <c r="AE879" s="10"/>
      <c r="AF879" s="10"/>
      <c r="AG879" s="10">
        <v>2</v>
      </c>
    </row>
    <row r="880" spans="25:33" x14ac:dyDescent="0.25">
      <c r="Y880" s="9">
        <v>4</v>
      </c>
      <c r="Z880" s="9" t="s">
        <v>1140</v>
      </c>
      <c r="AA880" s="9" t="s">
        <v>70</v>
      </c>
      <c r="AB880" s="9"/>
      <c r="AC880" s="9" t="s">
        <v>1103</v>
      </c>
      <c r="AD880" s="9" t="s">
        <v>297</v>
      </c>
      <c r="AE880" s="9">
        <v>0.25542500000000001</v>
      </c>
      <c r="AF880" s="9" t="s">
        <v>218</v>
      </c>
      <c r="AG880" s="9">
        <v>1</v>
      </c>
    </row>
    <row r="881" spans="25:33" x14ac:dyDescent="0.25">
      <c r="Y881" s="9">
        <v>4</v>
      </c>
      <c r="Z881" s="9" t="s">
        <v>1141</v>
      </c>
      <c r="AA881" s="9" t="s">
        <v>70</v>
      </c>
      <c r="AB881" s="9"/>
      <c r="AC881" s="9" t="s">
        <v>291</v>
      </c>
      <c r="AD881" s="9" t="s">
        <v>292</v>
      </c>
      <c r="AE881" s="9">
        <v>3.5471900000000001E-2</v>
      </c>
      <c r="AF881" s="9" t="s">
        <v>218</v>
      </c>
      <c r="AG881" s="9">
        <v>1</v>
      </c>
    </row>
    <row r="882" spans="25:33" x14ac:dyDescent="0.25">
      <c r="Y882" s="9">
        <v>4</v>
      </c>
      <c r="Z882" s="9" t="s">
        <v>1142</v>
      </c>
      <c r="AA882" s="9" t="s">
        <v>70</v>
      </c>
      <c r="AB882" s="9" t="s">
        <v>1128</v>
      </c>
      <c r="AC882" s="9" t="s">
        <v>1100</v>
      </c>
      <c r="AD882" s="9" t="s">
        <v>612</v>
      </c>
      <c r="AE882" s="9">
        <v>0.192298</v>
      </c>
      <c r="AF882" s="9" t="s">
        <v>218</v>
      </c>
      <c r="AG882" s="9">
        <v>1</v>
      </c>
    </row>
    <row r="883" spans="25:33" x14ac:dyDescent="0.25">
      <c r="Y883" s="9">
        <v>4</v>
      </c>
      <c r="Z883" s="9" t="s">
        <v>67</v>
      </c>
      <c r="AA883" s="9" t="s">
        <v>25</v>
      </c>
      <c r="AB883" s="9" t="s">
        <v>68</v>
      </c>
      <c r="AC883" s="9" t="s">
        <v>68</v>
      </c>
      <c r="AD883" s="9" t="s">
        <v>27</v>
      </c>
      <c r="AE883" s="9"/>
      <c r="AF883" s="9"/>
      <c r="AG883" s="9">
        <v>4</v>
      </c>
    </row>
    <row r="884" spans="25:33" x14ac:dyDescent="0.25">
      <c r="Y884" s="9">
        <v>4</v>
      </c>
      <c r="Z884" s="9" t="s">
        <v>261</v>
      </c>
      <c r="AA884" s="9" t="s">
        <v>25</v>
      </c>
      <c r="AB884" s="9"/>
      <c r="AC884" s="9" t="s">
        <v>9</v>
      </c>
      <c r="AD884" s="9" t="s">
        <v>27</v>
      </c>
      <c r="AE884" s="9"/>
      <c r="AF884" s="9"/>
      <c r="AG884" s="9">
        <v>4</v>
      </c>
    </row>
    <row r="885" spans="25:33" x14ac:dyDescent="0.25">
      <c r="Y885" s="10">
        <v>3</v>
      </c>
      <c r="Z885" s="10" t="s">
        <v>1143</v>
      </c>
      <c r="AA885" s="10" t="s">
        <v>70</v>
      </c>
      <c r="AB885" s="10" t="s">
        <v>1144</v>
      </c>
      <c r="AC885" s="10" t="s">
        <v>1098</v>
      </c>
      <c r="AF885" s="10" t="s">
        <v>218</v>
      </c>
      <c r="AG885" s="10">
        <v>1</v>
      </c>
    </row>
    <row r="886" spans="25:33" x14ac:dyDescent="0.25">
      <c r="Y886" s="9">
        <v>4</v>
      </c>
      <c r="Z886" s="9" t="s">
        <v>1145</v>
      </c>
      <c r="AA886" s="9" t="s">
        <v>70</v>
      </c>
      <c r="AB886" s="9" t="s">
        <v>1146</v>
      </c>
      <c r="AC886" s="9" t="s">
        <v>1146</v>
      </c>
      <c r="AD886" s="9" t="s">
        <v>612</v>
      </c>
      <c r="AE886" s="9">
        <v>0.39558700000000002</v>
      </c>
      <c r="AF886" s="9" t="s">
        <v>218</v>
      </c>
      <c r="AG886" s="9">
        <v>1</v>
      </c>
    </row>
    <row r="887" spans="25:33" x14ac:dyDescent="0.25">
      <c r="Y887" s="9">
        <v>4</v>
      </c>
      <c r="Z887" s="9" t="s">
        <v>1115</v>
      </c>
      <c r="AA887" s="9" t="s">
        <v>70</v>
      </c>
      <c r="AB887" s="9" t="s">
        <v>1116</v>
      </c>
      <c r="AC887" s="9" t="s">
        <v>1116</v>
      </c>
      <c r="AF887" s="9" t="s">
        <v>218</v>
      </c>
      <c r="AG887" s="9">
        <v>1</v>
      </c>
    </row>
    <row r="888" spans="25:33" x14ac:dyDescent="0.25">
      <c r="Y888" s="10">
        <v>5</v>
      </c>
      <c r="Z888" s="10" t="s">
        <v>1117</v>
      </c>
      <c r="AA888" s="10" t="s">
        <v>25</v>
      </c>
      <c r="AB888" s="10" t="s">
        <v>1118</v>
      </c>
      <c r="AC888" s="10"/>
      <c r="AD888" s="10"/>
      <c r="AE888" s="10">
        <v>0</v>
      </c>
      <c r="AF888" s="10"/>
      <c r="AG888" s="10">
        <v>1</v>
      </c>
    </row>
    <row r="889" spans="25:33" x14ac:dyDescent="0.25">
      <c r="Y889" s="10">
        <v>5</v>
      </c>
      <c r="Z889" s="10" t="s">
        <v>1119</v>
      </c>
      <c r="AA889" s="10" t="s">
        <v>78</v>
      </c>
      <c r="AB889" s="10" t="s">
        <v>1120</v>
      </c>
      <c r="AC889" s="10" t="s">
        <v>1120</v>
      </c>
      <c r="AD889" s="10" t="s">
        <v>101</v>
      </c>
      <c r="AE889" s="10">
        <v>3.1795200000000003E-2</v>
      </c>
      <c r="AF889" s="10" t="s">
        <v>150</v>
      </c>
      <c r="AG889" s="10">
        <v>1</v>
      </c>
    </row>
    <row r="890" spans="25:33" x14ac:dyDescent="0.25">
      <c r="Y890" s="10">
        <v>5</v>
      </c>
      <c r="Z890" s="10" t="s">
        <v>258</v>
      </c>
      <c r="AA890" s="10" t="s">
        <v>25</v>
      </c>
      <c r="AB890" s="10"/>
      <c r="AC890" s="10" t="s">
        <v>178</v>
      </c>
      <c r="AD890" s="10" t="s">
        <v>27</v>
      </c>
      <c r="AE890" s="10"/>
      <c r="AF890" s="10"/>
      <c r="AG890" s="10">
        <v>2</v>
      </c>
    </row>
    <row r="891" spans="25:33" x14ac:dyDescent="0.25">
      <c r="Y891" s="9">
        <v>4</v>
      </c>
      <c r="Z891" s="9" t="s">
        <v>1147</v>
      </c>
      <c r="AA891" s="9" t="s">
        <v>70</v>
      </c>
      <c r="AB891" s="9"/>
      <c r="AC891" s="9" t="s">
        <v>291</v>
      </c>
      <c r="AD891" s="9" t="s">
        <v>292</v>
      </c>
      <c r="AE891" s="9">
        <v>5.2312900000000002E-2</v>
      </c>
      <c r="AF891" s="9" t="s">
        <v>218</v>
      </c>
      <c r="AG891" s="9">
        <v>1</v>
      </c>
    </row>
    <row r="892" spans="25:33" x14ac:dyDescent="0.25">
      <c r="Y892" s="9">
        <v>4</v>
      </c>
      <c r="Z892" s="9" t="s">
        <v>1148</v>
      </c>
      <c r="AA892" s="9" t="s">
        <v>70</v>
      </c>
      <c r="AB892" s="9"/>
      <c r="AC892" s="9" t="s">
        <v>1103</v>
      </c>
      <c r="AD892" s="9" t="s">
        <v>297</v>
      </c>
      <c r="AE892" s="9">
        <v>0.52439899999999995</v>
      </c>
      <c r="AF892" s="9" t="s">
        <v>218</v>
      </c>
      <c r="AG892" s="9">
        <v>1</v>
      </c>
    </row>
    <row r="893" spans="25:33" x14ac:dyDescent="0.25">
      <c r="Y893" s="9">
        <v>4</v>
      </c>
      <c r="Z893" s="9" t="s">
        <v>49</v>
      </c>
      <c r="AA893" s="9" t="s">
        <v>25</v>
      </c>
      <c r="AB893" s="9" t="s">
        <v>50</v>
      </c>
      <c r="AC893" s="9" t="s">
        <v>50</v>
      </c>
      <c r="AD893" s="9" t="s">
        <v>27</v>
      </c>
      <c r="AE893" s="9"/>
      <c r="AF893" s="9"/>
      <c r="AG893" s="9">
        <v>4</v>
      </c>
    </row>
    <row r="894" spans="25:33" x14ac:dyDescent="0.25">
      <c r="Y894" s="10">
        <v>3</v>
      </c>
      <c r="Z894" s="10" t="s">
        <v>1149</v>
      </c>
      <c r="AA894" s="10" t="s">
        <v>70</v>
      </c>
      <c r="AB894" s="10" t="s">
        <v>1124</v>
      </c>
      <c r="AC894" s="10" t="s">
        <v>1098</v>
      </c>
      <c r="AF894" s="10" t="s">
        <v>218</v>
      </c>
      <c r="AG894" s="10">
        <v>1</v>
      </c>
    </row>
    <row r="895" spans="25:33" x14ac:dyDescent="0.25">
      <c r="Y895" s="9">
        <v>4</v>
      </c>
      <c r="Z895" s="9" t="s">
        <v>1115</v>
      </c>
      <c r="AA895" s="9" t="s">
        <v>70</v>
      </c>
      <c r="AB895" s="9" t="s">
        <v>1116</v>
      </c>
      <c r="AC895" s="9" t="s">
        <v>1116</v>
      </c>
      <c r="AF895" s="9" t="s">
        <v>218</v>
      </c>
      <c r="AG895" s="9">
        <v>1</v>
      </c>
    </row>
    <row r="896" spans="25:33" x14ac:dyDescent="0.25">
      <c r="Y896" s="10">
        <v>5</v>
      </c>
      <c r="Z896" s="10" t="s">
        <v>1117</v>
      </c>
      <c r="AA896" s="10" t="s">
        <v>25</v>
      </c>
      <c r="AB896" s="10" t="s">
        <v>1118</v>
      </c>
      <c r="AC896" s="10"/>
      <c r="AD896" s="10"/>
      <c r="AE896" s="10">
        <v>0</v>
      </c>
      <c r="AF896" s="10"/>
      <c r="AG896" s="10">
        <v>1</v>
      </c>
    </row>
    <row r="897" spans="25:33" x14ac:dyDescent="0.25">
      <c r="Y897" s="10">
        <v>5</v>
      </c>
      <c r="Z897" s="10" t="s">
        <v>1119</v>
      </c>
      <c r="AA897" s="10" t="s">
        <v>78</v>
      </c>
      <c r="AB897" s="10" t="s">
        <v>1120</v>
      </c>
      <c r="AC897" s="10" t="s">
        <v>1120</v>
      </c>
      <c r="AD897" s="10" t="s">
        <v>101</v>
      </c>
      <c r="AE897" s="10">
        <v>3.1795200000000003E-2</v>
      </c>
      <c r="AF897" s="10" t="s">
        <v>150</v>
      </c>
      <c r="AG897" s="10">
        <v>1</v>
      </c>
    </row>
    <row r="898" spans="25:33" x14ac:dyDescent="0.25">
      <c r="Y898" s="10">
        <v>5</v>
      </c>
      <c r="Z898" s="10" t="s">
        <v>258</v>
      </c>
      <c r="AA898" s="10" t="s">
        <v>25</v>
      </c>
      <c r="AB898" s="10"/>
      <c r="AC898" s="10" t="s">
        <v>178</v>
      </c>
      <c r="AD898" s="10" t="s">
        <v>27</v>
      </c>
      <c r="AE898" s="10"/>
      <c r="AF898" s="10"/>
      <c r="AG898" s="10">
        <v>2</v>
      </c>
    </row>
    <row r="899" spans="25:33" x14ac:dyDescent="0.25">
      <c r="Y899" s="9">
        <v>4</v>
      </c>
      <c r="Z899" s="9" t="s">
        <v>1150</v>
      </c>
      <c r="AA899" s="9" t="s">
        <v>70</v>
      </c>
      <c r="AB899" s="9"/>
      <c r="AC899" s="9" t="s">
        <v>1103</v>
      </c>
      <c r="AD899" s="9" t="s">
        <v>297</v>
      </c>
      <c r="AE899" s="9">
        <v>0.25206800000000001</v>
      </c>
      <c r="AF899" s="9" t="s">
        <v>218</v>
      </c>
      <c r="AG899" s="9">
        <v>1</v>
      </c>
    </row>
    <row r="900" spans="25:33" x14ac:dyDescent="0.25">
      <c r="Y900" s="9">
        <v>4</v>
      </c>
      <c r="Z900" s="9" t="s">
        <v>1151</v>
      </c>
      <c r="AA900" s="9" t="s">
        <v>70</v>
      </c>
      <c r="AB900" s="9"/>
      <c r="AC900" s="9" t="s">
        <v>291</v>
      </c>
      <c r="AD900" s="9" t="s">
        <v>292</v>
      </c>
      <c r="AE900" s="9">
        <v>3.4909900000000001E-2</v>
      </c>
      <c r="AF900" s="9" t="s">
        <v>218</v>
      </c>
      <c r="AG900" s="9">
        <v>1</v>
      </c>
    </row>
    <row r="901" spans="25:33" x14ac:dyDescent="0.25">
      <c r="Y901" s="9">
        <v>4</v>
      </c>
      <c r="Z901" s="9" t="s">
        <v>1152</v>
      </c>
      <c r="AA901" s="9" t="s">
        <v>70</v>
      </c>
      <c r="AB901" s="9" t="s">
        <v>1128</v>
      </c>
      <c r="AC901" s="9" t="s">
        <v>1100</v>
      </c>
      <c r="AD901" s="9" t="s">
        <v>612</v>
      </c>
      <c r="AE901" s="9">
        <v>0.189725</v>
      </c>
      <c r="AF901" s="9" t="s">
        <v>218</v>
      </c>
      <c r="AG901" s="9">
        <v>1</v>
      </c>
    </row>
    <row r="902" spans="25:33" x14ac:dyDescent="0.25">
      <c r="Y902" s="9">
        <v>4</v>
      </c>
      <c r="Z902" s="9" t="s">
        <v>67</v>
      </c>
      <c r="AA902" s="9" t="s">
        <v>25</v>
      </c>
      <c r="AB902" s="9" t="s">
        <v>68</v>
      </c>
      <c r="AC902" s="9" t="s">
        <v>68</v>
      </c>
      <c r="AD902" s="9" t="s">
        <v>27</v>
      </c>
      <c r="AE902" s="9"/>
      <c r="AF902" s="9"/>
      <c r="AG902" s="9">
        <v>4</v>
      </c>
    </row>
    <row r="903" spans="25:33" x14ac:dyDescent="0.25">
      <c r="Y903" s="9">
        <v>4</v>
      </c>
      <c r="Z903" s="9" t="s">
        <v>261</v>
      </c>
      <c r="AA903" s="9" t="s">
        <v>25</v>
      </c>
      <c r="AB903" s="9"/>
      <c r="AC903" s="9" t="s">
        <v>9</v>
      </c>
      <c r="AD903" s="9" t="s">
        <v>27</v>
      </c>
      <c r="AE903" s="9"/>
      <c r="AF903" s="9"/>
      <c r="AG903" s="9">
        <v>4</v>
      </c>
    </row>
    <row r="904" spans="25:33" x14ac:dyDescent="0.25">
      <c r="Y904" s="9">
        <v>2</v>
      </c>
      <c r="Z904" s="9" t="s">
        <v>1153</v>
      </c>
      <c r="AA904" s="9" t="s">
        <v>25</v>
      </c>
      <c r="AB904" s="9"/>
      <c r="AC904" s="9" t="s">
        <v>193</v>
      </c>
      <c r="AD904" s="9" t="s">
        <v>101</v>
      </c>
      <c r="AE904" s="9">
        <v>0.138625</v>
      </c>
      <c r="AF904" s="9"/>
      <c r="AG904" s="9">
        <v>1</v>
      </c>
    </row>
    <row r="905" spans="25:33" ht="30" x14ac:dyDescent="0.25">
      <c r="Y905" s="9">
        <v>2</v>
      </c>
      <c r="Z905" s="9" t="s">
        <v>1154</v>
      </c>
      <c r="AA905" s="9" t="s">
        <v>35</v>
      </c>
      <c r="AB905" s="11" t="s">
        <v>1155</v>
      </c>
      <c r="AC905" s="9" t="s">
        <v>1156</v>
      </c>
      <c r="AF905" s="9" t="s">
        <v>218</v>
      </c>
      <c r="AG905" s="9">
        <v>1</v>
      </c>
    </row>
    <row r="906" spans="25:33" x14ac:dyDescent="0.25">
      <c r="Y906" s="10">
        <v>3</v>
      </c>
      <c r="Z906" s="10" t="s">
        <v>1157</v>
      </c>
      <c r="AA906" s="10" t="s">
        <v>35</v>
      </c>
      <c r="AB906" s="10" t="s">
        <v>1158</v>
      </c>
      <c r="AC906" s="10" t="s">
        <v>1159</v>
      </c>
      <c r="AD906" s="10" t="s">
        <v>101</v>
      </c>
      <c r="AE906" s="10">
        <v>2.5798399999999999E-2</v>
      </c>
      <c r="AF906" s="10" t="s">
        <v>102</v>
      </c>
      <c r="AG906" s="10">
        <v>1</v>
      </c>
    </row>
    <row r="907" spans="25:33" x14ac:dyDescent="0.25">
      <c r="Y907" s="10">
        <v>3</v>
      </c>
      <c r="Z907" s="10" t="s">
        <v>1160</v>
      </c>
      <c r="AA907" s="10" t="s">
        <v>35</v>
      </c>
      <c r="AB907" s="10" t="s">
        <v>1161</v>
      </c>
      <c r="AC907" s="10" t="s">
        <v>1161</v>
      </c>
      <c r="AD907" s="10" t="s">
        <v>658</v>
      </c>
      <c r="AE907" s="10">
        <v>5.6879699999999997E-3</v>
      </c>
      <c r="AF907" s="10" t="s">
        <v>150</v>
      </c>
      <c r="AG907" s="10">
        <v>1</v>
      </c>
    </row>
    <row r="908" spans="25:33" x14ac:dyDescent="0.25">
      <c r="Y908" s="10">
        <v>3</v>
      </c>
      <c r="Z908" s="10" t="s">
        <v>1162</v>
      </c>
      <c r="AA908" s="10" t="s">
        <v>25</v>
      </c>
      <c r="AB908" s="10" t="s">
        <v>483</v>
      </c>
      <c r="AC908" s="10" t="s">
        <v>483</v>
      </c>
      <c r="AD908" s="10"/>
      <c r="AE908" s="10">
        <v>5.56182</v>
      </c>
      <c r="AF908" s="10" t="s">
        <v>218</v>
      </c>
      <c r="AG908" s="10">
        <v>1</v>
      </c>
    </row>
    <row r="909" spans="25:33" x14ac:dyDescent="0.25">
      <c r="Y909" s="10">
        <v>3</v>
      </c>
      <c r="Z909" s="10" t="s">
        <v>1163</v>
      </c>
      <c r="AA909" s="10" t="s">
        <v>25</v>
      </c>
      <c r="AB909" s="10"/>
      <c r="AC909" s="10" t="s">
        <v>507</v>
      </c>
      <c r="AD909" s="10" t="s">
        <v>27</v>
      </c>
      <c r="AE909" s="10"/>
      <c r="AF909" s="10"/>
      <c r="AG909" s="10">
        <v>1</v>
      </c>
    </row>
    <row r="910" spans="25:33" x14ac:dyDescent="0.25">
      <c r="Y910" s="10">
        <v>3</v>
      </c>
      <c r="Z910" s="10" t="s">
        <v>508</v>
      </c>
      <c r="AA910" s="10" t="s">
        <v>25</v>
      </c>
      <c r="AB910" s="10"/>
      <c r="AC910" s="10" t="s">
        <v>464</v>
      </c>
      <c r="AD910" s="10" t="s">
        <v>27</v>
      </c>
      <c r="AE910" s="10"/>
      <c r="AF910" s="10"/>
      <c r="AG910" s="10">
        <v>1</v>
      </c>
    </row>
    <row r="911" spans="25:33" ht="45" x14ac:dyDescent="0.25">
      <c r="Y911" s="10">
        <v>3</v>
      </c>
      <c r="Z911" s="10" t="s">
        <v>1164</v>
      </c>
      <c r="AA911" s="10" t="s">
        <v>35</v>
      </c>
      <c r="AB911" s="12" t="s">
        <v>1165</v>
      </c>
      <c r="AC911" s="10" t="s">
        <v>1166</v>
      </c>
      <c r="AF911" s="10" t="s">
        <v>218</v>
      </c>
      <c r="AG911" s="10">
        <v>1</v>
      </c>
    </row>
    <row r="912" spans="25:33" x14ac:dyDescent="0.25">
      <c r="Y912" s="9">
        <v>4</v>
      </c>
      <c r="Z912" s="9" t="s">
        <v>56</v>
      </c>
      <c r="AA912" s="9" t="s">
        <v>25</v>
      </c>
      <c r="AB912" s="9" t="s">
        <v>57</v>
      </c>
      <c r="AC912" s="9" t="s">
        <v>57</v>
      </c>
      <c r="AD912" s="9" t="s">
        <v>27</v>
      </c>
      <c r="AE912" s="9"/>
      <c r="AF912" s="9"/>
      <c r="AG912" s="9">
        <v>1</v>
      </c>
    </row>
    <row r="913" spans="25:33" x14ac:dyDescent="0.25">
      <c r="Y913" s="9">
        <v>4</v>
      </c>
      <c r="Z913" s="9" t="s">
        <v>1167</v>
      </c>
      <c r="AA913" s="9" t="s">
        <v>35</v>
      </c>
      <c r="AB913" s="9" t="s">
        <v>1168</v>
      </c>
      <c r="AC913" s="9" t="s">
        <v>22</v>
      </c>
      <c r="AD913" s="9"/>
      <c r="AE913" s="9">
        <v>17.967199999999998</v>
      </c>
      <c r="AF913" s="9" t="s">
        <v>19</v>
      </c>
      <c r="AG913" s="9">
        <v>1</v>
      </c>
    </row>
    <row r="914" spans="25:33" x14ac:dyDescent="0.25">
      <c r="Y914" s="9">
        <v>4</v>
      </c>
      <c r="Z914" s="9" t="s">
        <v>75</v>
      </c>
      <c r="AA914" s="9" t="s">
        <v>25</v>
      </c>
      <c r="AB914" s="9" t="s">
        <v>76</v>
      </c>
      <c r="AC914" s="9" t="s">
        <v>76</v>
      </c>
      <c r="AD914" s="9" t="s">
        <v>27</v>
      </c>
      <c r="AE914" s="9"/>
      <c r="AF914" s="9"/>
      <c r="AG914" s="9">
        <v>5</v>
      </c>
    </row>
    <row r="915" spans="25:33" x14ac:dyDescent="0.25">
      <c r="Y915" s="9">
        <v>4</v>
      </c>
      <c r="Z915" s="9" t="s">
        <v>48</v>
      </c>
      <c r="AA915" s="9" t="s">
        <v>25</v>
      </c>
      <c r="AB915" s="9"/>
      <c r="AC915" s="9" t="s">
        <v>36</v>
      </c>
      <c r="AD915" s="9" t="s">
        <v>27</v>
      </c>
      <c r="AE915" s="9">
        <v>6.0409799999999996E-3</v>
      </c>
      <c r="AF915" s="9"/>
      <c r="AG915" s="9">
        <v>6</v>
      </c>
    </row>
    <row r="916" spans="25:33" x14ac:dyDescent="0.25">
      <c r="Y916" s="9">
        <v>4</v>
      </c>
      <c r="Z916" s="9" t="s">
        <v>49</v>
      </c>
      <c r="AA916" s="9" t="s">
        <v>25</v>
      </c>
      <c r="AB916" s="9" t="s">
        <v>50</v>
      </c>
      <c r="AC916" s="9" t="s">
        <v>50</v>
      </c>
      <c r="AD916" s="9" t="s">
        <v>27</v>
      </c>
      <c r="AE916" s="9"/>
      <c r="AF916" s="9"/>
      <c r="AG916" s="9">
        <v>9</v>
      </c>
    </row>
    <row r="917" spans="25:33" x14ac:dyDescent="0.25">
      <c r="Y917" s="10">
        <v>3</v>
      </c>
      <c r="Z917" s="10" t="s">
        <v>1169</v>
      </c>
      <c r="AA917" s="10" t="s">
        <v>54</v>
      </c>
      <c r="AB917" s="10" t="s">
        <v>1170</v>
      </c>
      <c r="AC917" s="10" t="s">
        <v>1170</v>
      </c>
      <c r="AF917" s="10"/>
      <c r="AG917" s="10">
        <v>1</v>
      </c>
    </row>
    <row r="918" spans="25:33" x14ac:dyDescent="0.25">
      <c r="Y918" s="9">
        <v>4</v>
      </c>
      <c r="Z918" s="9" t="s">
        <v>241</v>
      </c>
      <c r="AA918" s="9" t="s">
        <v>25</v>
      </c>
      <c r="AB918" s="9"/>
      <c r="AC918" s="9" t="s">
        <v>178</v>
      </c>
      <c r="AD918" s="9" t="s">
        <v>27</v>
      </c>
      <c r="AE918" s="9"/>
      <c r="AF918" s="9"/>
      <c r="AG918" s="9">
        <v>1</v>
      </c>
    </row>
    <row r="919" spans="25:33" x14ac:dyDescent="0.25">
      <c r="Y919" s="9">
        <v>4</v>
      </c>
      <c r="Z919" s="9" t="s">
        <v>1171</v>
      </c>
      <c r="AA919" s="9" t="s">
        <v>25</v>
      </c>
      <c r="AB919" s="9"/>
      <c r="AC919" s="9" t="s">
        <v>445</v>
      </c>
      <c r="AD919" s="9" t="s">
        <v>176</v>
      </c>
      <c r="AE919" s="9"/>
      <c r="AF919" s="9"/>
      <c r="AG919" s="9">
        <v>1</v>
      </c>
    </row>
    <row r="920" spans="25:33" ht="30" x14ac:dyDescent="0.25">
      <c r="Y920" s="9">
        <v>4</v>
      </c>
      <c r="Z920" s="9" t="s">
        <v>1172</v>
      </c>
      <c r="AA920" s="9" t="s">
        <v>54</v>
      </c>
      <c r="AB920" s="11" t="s">
        <v>1173</v>
      </c>
      <c r="AC920" s="9" t="s">
        <v>1174</v>
      </c>
      <c r="AD920" s="9" t="s">
        <v>101</v>
      </c>
      <c r="AE920" s="9">
        <v>2.40515E-3</v>
      </c>
      <c r="AF920" s="9"/>
      <c r="AG920" s="9">
        <v>1</v>
      </c>
    </row>
    <row r="921" spans="25:33" x14ac:dyDescent="0.25">
      <c r="Y921" s="9">
        <v>4</v>
      </c>
      <c r="Z921" s="9" t="s">
        <v>1175</v>
      </c>
      <c r="AA921" s="9" t="s">
        <v>54</v>
      </c>
      <c r="AB921" s="9" t="s">
        <v>888</v>
      </c>
      <c r="AC921" s="9" t="s">
        <v>888</v>
      </c>
      <c r="AD921" s="9" t="s">
        <v>292</v>
      </c>
      <c r="AE921" s="9">
        <v>0.70353699999999997</v>
      </c>
      <c r="AF921" s="9"/>
      <c r="AG921" s="9">
        <v>1</v>
      </c>
    </row>
    <row r="922" spans="25:33" ht="30" x14ac:dyDescent="0.25">
      <c r="Y922" s="9">
        <v>4</v>
      </c>
      <c r="Z922" s="9" t="s">
        <v>1176</v>
      </c>
      <c r="AA922" s="9" t="s">
        <v>54</v>
      </c>
      <c r="AB922" s="11" t="s">
        <v>1177</v>
      </c>
      <c r="AC922" s="9" t="s">
        <v>1178</v>
      </c>
      <c r="AD922" s="9" t="s">
        <v>101</v>
      </c>
      <c r="AE922" s="9">
        <v>1.91461E-3</v>
      </c>
      <c r="AF922" s="9"/>
      <c r="AG922" s="9">
        <v>7</v>
      </c>
    </row>
    <row r="923" spans="25:33" x14ac:dyDescent="0.25">
      <c r="Y923" s="10">
        <v>3</v>
      </c>
      <c r="Z923" s="10" t="s">
        <v>1179</v>
      </c>
      <c r="AA923" s="10" t="s">
        <v>25</v>
      </c>
      <c r="AB923" s="10" t="s">
        <v>1180</v>
      </c>
      <c r="AC923" s="10" t="s">
        <v>1180</v>
      </c>
      <c r="AD923" s="10"/>
      <c r="AE923" s="10">
        <v>9.6950400000000006E-2</v>
      </c>
      <c r="AF923" s="10"/>
      <c r="AG923" s="10">
        <v>1</v>
      </c>
    </row>
    <row r="924" spans="25:33" x14ac:dyDescent="0.25">
      <c r="Y924" s="10">
        <v>3</v>
      </c>
      <c r="Z924" s="10" t="s">
        <v>1181</v>
      </c>
      <c r="AA924" s="10" t="s">
        <v>25</v>
      </c>
      <c r="AB924" s="10"/>
      <c r="AC924" s="10" t="s">
        <v>7</v>
      </c>
      <c r="AD924" s="10" t="s">
        <v>27</v>
      </c>
      <c r="AE924" s="10"/>
      <c r="AF924" s="10"/>
      <c r="AG924" s="10">
        <v>2</v>
      </c>
    </row>
    <row r="925" spans="25:33" x14ac:dyDescent="0.25">
      <c r="Y925" s="10">
        <v>3</v>
      </c>
      <c r="Z925" s="10" t="s">
        <v>259</v>
      </c>
      <c r="AA925" s="10" t="s">
        <v>35</v>
      </c>
      <c r="AB925" s="10"/>
      <c r="AC925" s="10" t="s">
        <v>260</v>
      </c>
      <c r="AD925" s="10" t="s">
        <v>27</v>
      </c>
      <c r="AE925" s="10">
        <v>3.5726600000000002E-4</v>
      </c>
      <c r="AF925" s="10"/>
      <c r="AG925" s="10">
        <v>2</v>
      </c>
    </row>
    <row r="926" spans="25:33" x14ac:dyDescent="0.25">
      <c r="Y926" s="10">
        <v>3</v>
      </c>
      <c r="Z926" s="10" t="s">
        <v>1182</v>
      </c>
      <c r="AA926" s="10" t="s">
        <v>25</v>
      </c>
      <c r="AB926" s="10"/>
      <c r="AC926" s="10" t="s">
        <v>1183</v>
      </c>
      <c r="AD926" s="10" t="s">
        <v>27</v>
      </c>
      <c r="AE926" s="10"/>
      <c r="AF926" s="10"/>
      <c r="AG926" s="10">
        <v>7</v>
      </c>
    </row>
    <row r="927" spans="25:33" x14ac:dyDescent="0.25">
      <c r="Y927" s="9">
        <v>2</v>
      </c>
      <c r="Z927" s="9" t="s">
        <v>1184</v>
      </c>
      <c r="AA927" s="9" t="s">
        <v>25</v>
      </c>
      <c r="AB927" s="9" t="s">
        <v>1185</v>
      </c>
      <c r="AC927" s="9" t="s">
        <v>1186</v>
      </c>
      <c r="AD927" s="9"/>
      <c r="AE927" s="9">
        <v>0</v>
      </c>
      <c r="AF927" s="9"/>
      <c r="AG927" s="9">
        <v>1</v>
      </c>
    </row>
    <row r="928" spans="25:33" x14ac:dyDescent="0.25">
      <c r="Y928" s="9">
        <v>2</v>
      </c>
      <c r="Z928" s="9" t="s">
        <v>1187</v>
      </c>
      <c r="AA928" s="9" t="s">
        <v>25</v>
      </c>
      <c r="AB928" s="9" t="s">
        <v>1188</v>
      </c>
      <c r="AC928" s="9" t="s">
        <v>1189</v>
      </c>
      <c r="AD928" s="9" t="s">
        <v>700</v>
      </c>
      <c r="AE928" s="9">
        <v>0.75205619899999998</v>
      </c>
      <c r="AF928" s="9"/>
      <c r="AG928" s="9">
        <v>1</v>
      </c>
    </row>
    <row r="929" spans="25:33" x14ac:dyDescent="0.25">
      <c r="Y929" s="9">
        <v>2</v>
      </c>
      <c r="Z929" s="9" t="s">
        <v>1190</v>
      </c>
      <c r="AA929" s="9" t="s">
        <v>25</v>
      </c>
      <c r="AB929" s="9" t="s">
        <v>1191</v>
      </c>
      <c r="AC929" s="9" t="s">
        <v>1191</v>
      </c>
      <c r="AD929" s="9"/>
      <c r="AE929" s="9">
        <v>0</v>
      </c>
      <c r="AF929" s="9"/>
      <c r="AG929" s="9">
        <v>1</v>
      </c>
    </row>
    <row r="930" spans="25:33" x14ac:dyDescent="0.25">
      <c r="Y930" s="9">
        <v>2</v>
      </c>
      <c r="Z930" s="9" t="s">
        <v>1192</v>
      </c>
      <c r="AA930" s="9" t="s">
        <v>25</v>
      </c>
      <c r="AB930" s="9" t="s">
        <v>1193</v>
      </c>
      <c r="AC930" s="9" t="s">
        <v>1194</v>
      </c>
      <c r="AD930" s="9"/>
      <c r="AE930" s="9">
        <v>0</v>
      </c>
      <c r="AF930" s="9"/>
      <c r="AG930" s="9">
        <v>1</v>
      </c>
    </row>
    <row r="931" spans="25:33" x14ac:dyDescent="0.25">
      <c r="Y931" s="9">
        <v>2</v>
      </c>
      <c r="Z931" s="9" t="s">
        <v>1195</v>
      </c>
      <c r="AA931" s="9" t="s">
        <v>54</v>
      </c>
      <c r="AB931" s="9" t="s">
        <v>1196</v>
      </c>
      <c r="AC931" s="9" t="s">
        <v>1196</v>
      </c>
      <c r="AD931" s="9" t="s">
        <v>335</v>
      </c>
      <c r="AE931" s="9">
        <v>6.2451800000000003E-3</v>
      </c>
      <c r="AF931" s="9" t="s">
        <v>1197</v>
      </c>
      <c r="AG931" s="9">
        <v>1</v>
      </c>
    </row>
    <row r="932" spans="25:33" x14ac:dyDescent="0.25">
      <c r="Y932" s="9">
        <v>2</v>
      </c>
      <c r="Z932" s="9" t="s">
        <v>455</v>
      </c>
      <c r="AA932" s="9" t="s">
        <v>25</v>
      </c>
      <c r="AB932" s="9" t="s">
        <v>456</v>
      </c>
      <c r="AC932" s="9" t="s">
        <v>457</v>
      </c>
      <c r="AD932" s="9"/>
      <c r="AE932" s="9">
        <v>1.20853E-2</v>
      </c>
      <c r="AF932" s="9"/>
      <c r="AG932" s="9">
        <v>2</v>
      </c>
    </row>
    <row r="933" spans="25:33" x14ac:dyDescent="0.25">
      <c r="Y933" s="9">
        <v>2</v>
      </c>
      <c r="Z933" s="9" t="s">
        <v>1198</v>
      </c>
      <c r="AA933" s="9" t="s">
        <v>227</v>
      </c>
      <c r="AB933" s="9" t="s">
        <v>1199</v>
      </c>
      <c r="AC933" s="9" t="s">
        <v>1199</v>
      </c>
      <c r="AD933" s="9" t="s">
        <v>335</v>
      </c>
      <c r="AE933" s="9">
        <v>3.7785699999999998E-2</v>
      </c>
      <c r="AF933" s="9" t="s">
        <v>102</v>
      </c>
      <c r="AG933" s="9">
        <v>2</v>
      </c>
    </row>
    <row r="934" spans="25:33" x14ac:dyDescent="0.25">
      <c r="Y934" s="9">
        <v>2</v>
      </c>
      <c r="Z934" s="9" t="s">
        <v>1200</v>
      </c>
      <c r="AA934" s="9" t="s">
        <v>25</v>
      </c>
      <c r="AB934" s="9"/>
      <c r="AC934" s="9" t="s">
        <v>1201</v>
      </c>
      <c r="AD934" s="9" t="s">
        <v>335</v>
      </c>
      <c r="AE934" s="9"/>
      <c r="AF934" s="9"/>
      <c r="AG934" s="9">
        <v>4</v>
      </c>
    </row>
    <row r="935" spans="25:33" x14ac:dyDescent="0.25">
      <c r="Y935" s="9">
        <v>2</v>
      </c>
      <c r="Z935" s="9" t="s">
        <v>1202</v>
      </c>
      <c r="AA935" s="9" t="s">
        <v>25</v>
      </c>
      <c r="AB935" s="9"/>
      <c r="AC935" s="9" t="s">
        <v>5</v>
      </c>
      <c r="AD935" s="9" t="s">
        <v>27</v>
      </c>
      <c r="AE935" s="9"/>
      <c r="AF935" s="9"/>
      <c r="AG935" s="9">
        <v>4</v>
      </c>
    </row>
    <row r="936" spans="25:33" x14ac:dyDescent="0.25">
      <c r="Y936" s="9">
        <v>2</v>
      </c>
      <c r="Z936" s="9" t="s">
        <v>1203</v>
      </c>
      <c r="AA936" s="9" t="s">
        <v>25</v>
      </c>
      <c r="AB936" s="9"/>
      <c r="AC936" s="9" t="s">
        <v>680</v>
      </c>
      <c r="AD936" s="9" t="s">
        <v>27</v>
      </c>
      <c r="AE936" s="9"/>
      <c r="AF936" s="9"/>
      <c r="AG936" s="9">
        <v>6</v>
      </c>
    </row>
    <row r="937" spans="25:33" x14ac:dyDescent="0.25">
      <c r="Y937" s="9">
        <v>2</v>
      </c>
      <c r="Z937" s="9" t="s">
        <v>253</v>
      </c>
      <c r="AA937" s="9" t="s">
        <v>25</v>
      </c>
      <c r="AB937" s="9" t="s">
        <v>254</v>
      </c>
      <c r="AC937" s="9" t="s">
        <v>254</v>
      </c>
      <c r="AD937" s="9" t="s">
        <v>27</v>
      </c>
      <c r="AE937" s="9"/>
      <c r="AF937" s="9"/>
      <c r="AG937" s="9">
        <v>13</v>
      </c>
    </row>
    <row r="938" spans="25:33" x14ac:dyDescent="0.25">
      <c r="Y938" s="9">
        <v>2</v>
      </c>
      <c r="Z938" s="9" t="s">
        <v>1204</v>
      </c>
      <c r="AA938" s="9" t="s">
        <v>25</v>
      </c>
      <c r="AB938" s="9" t="s">
        <v>1205</v>
      </c>
      <c r="AC938" s="9" t="s">
        <v>1205</v>
      </c>
      <c r="AD938" s="9"/>
      <c r="AE938" s="9">
        <v>0</v>
      </c>
      <c r="AF938" s="9"/>
      <c r="AG938" s="9">
        <v>26</v>
      </c>
    </row>
  </sheetData>
  <pageMargins left="0.7" right="0.7" top="0.75" bottom="0.75" header="0.3" footer="0.3"/>
  <pageSetup orientation="portrait" horizontalDpi="4294967293" verticalDpi="4294967293" r:id="rId1"/>
  <drawing r:id="rId2"/>
  <legacyDrawing r:id="rId3"/>
  <controls>
    <mc:AlternateContent xmlns:mc="http://schemas.openxmlformats.org/markup-compatibility/2006">
      <mc:Choice Requires="x14">
        <control shapeId="2049" r:id="rId4" name="Image1">
          <controlPr defaultSize="0" autoLine="0" r:id="rId5">
            <anchor moveWithCells="1">
              <from>
                <xdr:col>10</xdr:col>
                <xdr:colOff>438150</xdr:colOff>
                <xdr:row>5</xdr:row>
                <xdr:rowOff>0</xdr:rowOff>
              </from>
              <to>
                <xdr:col>11</xdr:col>
                <xdr:colOff>219075</xdr:colOff>
                <xdr:row>6</xdr:row>
                <xdr:rowOff>152400</xdr:rowOff>
              </to>
            </anchor>
          </controlPr>
        </control>
      </mc:Choice>
      <mc:Fallback>
        <control shapeId="2049" r:id="rId4" name="Image1"/>
      </mc:Fallback>
    </mc:AlternateContent>
  </controls>
  <tableParts count="1">
    <tablePart r:id="rId6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N200"/>
  <sheetViews>
    <sheetView tabSelected="1" zoomScaleNormal="100" workbookViewId="0">
      <selection activeCell="F5" sqref="F5"/>
    </sheetView>
  </sheetViews>
  <sheetFormatPr defaultRowHeight="15" x14ac:dyDescent="0.25"/>
  <cols>
    <col min="1" max="1" width="7.28515625" customWidth="1"/>
    <col min="2" max="2" width="23" bestFit="1" customWidth="1"/>
    <col min="3" max="3" width="44.28515625" customWidth="1"/>
    <col min="4" max="4" width="25.85546875" customWidth="1"/>
    <col min="5" max="5" width="7" customWidth="1"/>
    <col min="6" max="6" width="21" bestFit="1" customWidth="1"/>
    <col min="7" max="7" width="65.85546875" bestFit="1" customWidth="1"/>
    <col min="8" max="8" width="11.7109375" customWidth="1"/>
    <col min="9" max="9" width="7.5703125" customWidth="1"/>
    <col min="13" max="13" width="13.140625" bestFit="1" customWidth="1"/>
    <col min="16" max="16" width="8.7109375" bestFit="1" customWidth="1"/>
  </cols>
  <sheetData>
    <row r="1" spans="1:14" x14ac:dyDescent="0.25">
      <c r="A1" t="s">
        <v>3351</v>
      </c>
      <c r="C1">
        <v>8.9999999999966107</v>
      </c>
      <c r="D1">
        <f>C1/60</f>
        <v>0.14999999999994351</v>
      </c>
    </row>
    <row r="2" spans="1:14" x14ac:dyDescent="0.25">
      <c r="A2" t="b">
        <v>0</v>
      </c>
    </row>
    <row r="10" spans="1:14" ht="15.75" thickBot="1" x14ac:dyDescent="0.3">
      <c r="F10" s="33" t="s">
        <v>1206</v>
      </c>
      <c r="G10" s="26" t="s">
        <v>3339</v>
      </c>
    </row>
    <row r="11" spans="1:14" x14ac:dyDescent="0.25">
      <c r="C11" s="15">
        <v>41614.573067129626</v>
      </c>
    </row>
    <row r="12" spans="1:14" ht="15.75" thickBot="1" x14ac:dyDescent="0.3">
      <c r="C12" s="15">
        <v>41613.652812499997</v>
      </c>
      <c r="G12" s="15">
        <v>41613.652824074074</v>
      </c>
    </row>
    <row r="13" spans="1:14" ht="30" customHeight="1" thickBot="1" x14ac:dyDescent="0.3">
      <c r="A13" s="28" t="s">
        <v>0</v>
      </c>
      <c r="B13" s="29" t="s">
        <v>1</v>
      </c>
      <c r="C13" s="29" t="s">
        <v>2</v>
      </c>
      <c r="D13" s="54" t="s">
        <v>3398</v>
      </c>
      <c r="E13" s="30" t="s">
        <v>0</v>
      </c>
      <c r="F13" s="30" t="s">
        <v>1</v>
      </c>
      <c r="G13" s="30" t="s">
        <v>2</v>
      </c>
      <c r="H13" s="31" t="s">
        <v>3336</v>
      </c>
      <c r="I13" s="32" t="s">
        <v>3</v>
      </c>
      <c r="L13" s="55" t="s">
        <v>1232</v>
      </c>
      <c r="M13" s="55"/>
      <c r="N13" s="55"/>
    </row>
    <row r="14" spans="1:14" ht="15.75" thickBot="1" x14ac:dyDescent="0.3">
      <c r="A14" s="42">
        <v>1</v>
      </c>
      <c r="B14" s="42">
        <v>255702</v>
      </c>
      <c r="C14" s="42" t="s">
        <v>3382</v>
      </c>
      <c r="D14" s="53" t="s">
        <v>3399</v>
      </c>
      <c r="E14" s="42">
        <v>12</v>
      </c>
      <c r="F14" s="42" t="s">
        <v>683</v>
      </c>
      <c r="G14" s="48" t="s">
        <v>2439</v>
      </c>
      <c r="H14" s="42"/>
      <c r="I14" s="42">
        <v>29</v>
      </c>
      <c r="L14" s="55">
        <v>-5</v>
      </c>
      <c r="M14" s="55"/>
      <c r="N14" s="55"/>
    </row>
    <row r="15" spans="1:14" ht="15.75" thickBot="1" x14ac:dyDescent="0.3">
      <c r="A15" s="42">
        <v>1</v>
      </c>
      <c r="B15" s="42" t="s">
        <v>1204</v>
      </c>
      <c r="C15" s="42" t="s">
        <v>3380</v>
      </c>
      <c r="D15" s="53" t="s">
        <v>3355</v>
      </c>
      <c r="E15" s="42">
        <v>8</v>
      </c>
      <c r="F15" s="42" t="s">
        <v>682</v>
      </c>
      <c r="G15" s="48" t="s">
        <v>2436</v>
      </c>
      <c r="H15" s="42"/>
      <c r="I15" s="42">
        <v>28</v>
      </c>
      <c r="L15" s="38" t="s">
        <v>1235</v>
      </c>
      <c r="M15" s="39" t="s">
        <v>1233</v>
      </c>
      <c r="N15" s="39" t="s">
        <v>1234</v>
      </c>
    </row>
    <row r="16" spans="1:14" x14ac:dyDescent="0.25">
      <c r="A16" s="42">
        <v>1</v>
      </c>
      <c r="B16" s="42" t="s">
        <v>1204</v>
      </c>
      <c r="C16" s="42" t="s">
        <v>3380</v>
      </c>
      <c r="D16" s="53" t="s">
        <v>3355</v>
      </c>
      <c r="E16" s="42">
        <v>1</v>
      </c>
      <c r="F16" s="42" t="s">
        <v>528</v>
      </c>
      <c r="G16" s="48" t="s">
        <v>1863</v>
      </c>
      <c r="H16" s="42"/>
      <c r="I16" s="42">
        <v>27</v>
      </c>
    </row>
    <row r="17" spans="1:9" x14ac:dyDescent="0.25">
      <c r="A17" s="42">
        <v>1</v>
      </c>
      <c r="B17" s="42" t="s">
        <v>1204</v>
      </c>
      <c r="C17" s="42" t="s">
        <v>3380</v>
      </c>
      <c r="D17" s="53" t="s">
        <v>3355</v>
      </c>
      <c r="E17" s="42">
        <v>1</v>
      </c>
      <c r="F17" s="47" t="s">
        <v>3340</v>
      </c>
      <c r="G17" s="42" t="s">
        <v>492</v>
      </c>
      <c r="H17" s="42"/>
      <c r="I17" s="42">
        <v>23</v>
      </c>
    </row>
    <row r="18" spans="1:9" x14ac:dyDescent="0.25">
      <c r="A18" s="42">
        <v>1</v>
      </c>
      <c r="B18" s="42" t="s">
        <v>1204</v>
      </c>
      <c r="C18" s="42" t="s">
        <v>3380</v>
      </c>
      <c r="D18" s="53" t="s">
        <v>3355</v>
      </c>
      <c r="E18" s="42">
        <v>1</v>
      </c>
      <c r="F18" s="47" t="s">
        <v>546</v>
      </c>
      <c r="G18" s="42" t="s">
        <v>547</v>
      </c>
      <c r="H18" s="42"/>
      <c r="I18" s="42">
        <v>22</v>
      </c>
    </row>
    <row r="19" spans="1:9" x14ac:dyDescent="0.25">
      <c r="A19" s="42">
        <v>1</v>
      </c>
      <c r="B19" s="42" t="s">
        <v>1204</v>
      </c>
      <c r="C19" s="42" t="s">
        <v>3380</v>
      </c>
      <c r="D19" s="53" t="s">
        <v>3355</v>
      </c>
      <c r="E19" s="42">
        <v>1</v>
      </c>
      <c r="F19" s="47" t="s">
        <v>428</v>
      </c>
      <c r="G19" s="42" t="s">
        <v>430</v>
      </c>
      <c r="H19" s="42"/>
      <c r="I19" s="42">
        <v>21</v>
      </c>
    </row>
    <row r="20" spans="1:9" x14ac:dyDescent="0.25">
      <c r="A20" s="42">
        <v>1</v>
      </c>
      <c r="B20" s="42" t="s">
        <v>1204</v>
      </c>
      <c r="C20" s="42" t="s">
        <v>3380</v>
      </c>
      <c r="D20" s="53" t="s">
        <v>3355</v>
      </c>
      <c r="E20" s="42">
        <v>1</v>
      </c>
      <c r="F20" s="47" t="s">
        <v>540</v>
      </c>
      <c r="G20" s="42" t="s">
        <v>133</v>
      </c>
      <c r="H20" s="46"/>
      <c r="I20" s="42">
        <v>20</v>
      </c>
    </row>
    <row r="21" spans="1:9" x14ac:dyDescent="0.25">
      <c r="A21" s="42">
        <v>1</v>
      </c>
      <c r="B21" s="42" t="s">
        <v>1204</v>
      </c>
      <c r="C21" s="42" t="s">
        <v>3380</v>
      </c>
      <c r="D21" s="53" t="s">
        <v>3355</v>
      </c>
      <c r="E21" s="42">
        <v>1</v>
      </c>
      <c r="F21" s="47" t="s">
        <v>313</v>
      </c>
      <c r="G21" s="42" t="s">
        <v>315</v>
      </c>
      <c r="H21" s="46"/>
      <c r="I21" s="42">
        <v>19</v>
      </c>
    </row>
    <row r="22" spans="1:9" x14ac:dyDescent="0.25">
      <c r="A22" s="42">
        <v>1</v>
      </c>
      <c r="B22" s="42" t="s">
        <v>1204</v>
      </c>
      <c r="C22" s="42" t="s">
        <v>3380</v>
      </c>
      <c r="D22" s="53" t="s">
        <v>3355</v>
      </c>
      <c r="E22" s="42">
        <v>1</v>
      </c>
      <c r="F22" s="47" t="s">
        <v>3341</v>
      </c>
      <c r="G22" s="42" t="s">
        <v>14</v>
      </c>
      <c r="H22" s="46"/>
      <c r="I22" s="42">
        <v>18</v>
      </c>
    </row>
    <row r="23" spans="1:9" x14ac:dyDescent="0.25">
      <c r="A23" s="42">
        <v>1</v>
      </c>
      <c r="B23" s="42" t="s">
        <v>1204</v>
      </c>
      <c r="C23" s="42" t="s">
        <v>3380</v>
      </c>
      <c r="D23" s="53" t="s">
        <v>3355</v>
      </c>
      <c r="E23" s="42">
        <v>1</v>
      </c>
      <c r="F23" s="47" t="s">
        <v>328</v>
      </c>
      <c r="G23" s="42" t="s">
        <v>3342</v>
      </c>
      <c r="H23" s="42"/>
      <c r="I23" s="42">
        <v>17</v>
      </c>
    </row>
    <row r="24" spans="1:9" x14ac:dyDescent="0.25">
      <c r="A24" s="42">
        <v>1</v>
      </c>
      <c r="B24" s="42" t="s">
        <v>1204</v>
      </c>
      <c r="C24" s="42" t="s">
        <v>3380</v>
      </c>
      <c r="D24" s="53" t="s">
        <v>3355</v>
      </c>
      <c r="E24" s="42">
        <v>1</v>
      </c>
      <c r="F24" s="47" t="s">
        <v>393</v>
      </c>
      <c r="G24" s="42" t="s">
        <v>3342</v>
      </c>
      <c r="H24" s="42"/>
      <c r="I24" s="42">
        <v>16</v>
      </c>
    </row>
    <row r="25" spans="1:9" x14ac:dyDescent="0.25">
      <c r="A25" s="42">
        <v>1</v>
      </c>
      <c r="B25" s="42" t="s">
        <v>1204</v>
      </c>
      <c r="C25" s="42" t="s">
        <v>3380</v>
      </c>
      <c r="D25" s="53" t="s">
        <v>3355</v>
      </c>
      <c r="E25" s="42">
        <v>1</v>
      </c>
      <c r="F25" s="47" t="s">
        <v>532</v>
      </c>
      <c r="G25" s="42" t="s">
        <v>3343</v>
      </c>
      <c r="H25" s="42"/>
      <c r="I25" s="42">
        <v>15</v>
      </c>
    </row>
    <row r="26" spans="1:9" x14ac:dyDescent="0.25">
      <c r="A26" s="42">
        <v>1</v>
      </c>
      <c r="B26" s="42" t="s">
        <v>1204</v>
      </c>
      <c r="C26" s="42" t="s">
        <v>3380</v>
      </c>
      <c r="D26" s="53" t="s">
        <v>3355</v>
      </c>
      <c r="E26" s="42">
        <v>1</v>
      </c>
      <c r="F26" s="47" t="s">
        <v>535</v>
      </c>
      <c r="G26" s="42" t="s">
        <v>3344</v>
      </c>
      <c r="H26" s="42"/>
      <c r="I26" s="42">
        <v>14</v>
      </c>
    </row>
    <row r="27" spans="1:9" x14ac:dyDescent="0.25">
      <c r="A27" s="42">
        <v>1</v>
      </c>
      <c r="B27" s="42" t="s">
        <v>1204</v>
      </c>
      <c r="C27" s="42" t="s">
        <v>3380</v>
      </c>
      <c r="D27" s="53" t="s">
        <v>3355</v>
      </c>
      <c r="E27" s="42">
        <v>1</v>
      </c>
      <c r="F27" s="47" t="s">
        <v>301</v>
      </c>
      <c r="G27" s="42" t="s">
        <v>3345</v>
      </c>
      <c r="H27" s="42"/>
      <c r="I27" s="42">
        <v>13</v>
      </c>
    </row>
    <row r="28" spans="1:9" x14ac:dyDescent="0.25">
      <c r="A28" s="42">
        <v>1</v>
      </c>
      <c r="B28" s="42" t="s">
        <v>1204</v>
      </c>
      <c r="C28" s="42" t="s">
        <v>3380</v>
      </c>
      <c r="D28" s="53" t="s">
        <v>3355</v>
      </c>
      <c r="E28" s="42">
        <v>1</v>
      </c>
      <c r="F28" s="47" t="s">
        <v>319</v>
      </c>
      <c r="G28" s="42" t="s">
        <v>302</v>
      </c>
      <c r="H28" s="42"/>
      <c r="I28" s="42">
        <v>12</v>
      </c>
    </row>
    <row r="29" spans="1:9" x14ac:dyDescent="0.25">
      <c r="A29" s="42">
        <v>1</v>
      </c>
      <c r="B29" s="42" t="s">
        <v>1204</v>
      </c>
      <c r="C29" s="42" t="s">
        <v>3380</v>
      </c>
      <c r="D29" s="53" t="s">
        <v>3355</v>
      </c>
      <c r="E29" s="42">
        <v>1</v>
      </c>
      <c r="F29" s="47" t="s">
        <v>446</v>
      </c>
      <c r="G29" s="42" t="s">
        <v>447</v>
      </c>
      <c r="H29" s="42"/>
      <c r="I29" s="42">
        <v>11</v>
      </c>
    </row>
    <row r="30" spans="1:9" x14ac:dyDescent="0.25">
      <c r="A30" s="42">
        <v>1</v>
      </c>
      <c r="B30" s="42" t="s">
        <v>1204</v>
      </c>
      <c r="C30" s="42" t="s">
        <v>3380</v>
      </c>
      <c r="D30" s="53" t="s">
        <v>3355</v>
      </c>
      <c r="E30" s="42">
        <v>1</v>
      </c>
      <c r="F30" s="47" t="s">
        <v>469</v>
      </c>
      <c r="G30" s="42" t="s">
        <v>470</v>
      </c>
      <c r="H30" s="42"/>
      <c r="I30" s="42">
        <v>10</v>
      </c>
    </row>
    <row r="31" spans="1:9" x14ac:dyDescent="0.25">
      <c r="A31" s="42">
        <v>1</v>
      </c>
      <c r="B31" s="42" t="s">
        <v>1204</v>
      </c>
      <c r="C31" s="42" t="s">
        <v>3380</v>
      </c>
      <c r="D31" s="53" t="s">
        <v>3355</v>
      </c>
      <c r="E31" s="42">
        <v>1</v>
      </c>
      <c r="F31" s="42" t="s">
        <v>3346</v>
      </c>
      <c r="G31" s="42" t="s">
        <v>575</v>
      </c>
      <c r="H31" s="46"/>
      <c r="I31" s="42">
        <v>9</v>
      </c>
    </row>
    <row r="32" spans="1:9" x14ac:dyDescent="0.25">
      <c r="A32" s="42">
        <v>1</v>
      </c>
      <c r="B32" s="42" t="s">
        <v>1204</v>
      </c>
      <c r="C32" s="42" t="s">
        <v>3380</v>
      </c>
      <c r="D32" s="53" t="s">
        <v>3355</v>
      </c>
      <c r="E32" s="42">
        <v>1</v>
      </c>
      <c r="F32" s="47" t="s">
        <v>544</v>
      </c>
      <c r="G32" s="42" t="s">
        <v>545</v>
      </c>
      <c r="H32" s="42"/>
      <c r="I32" s="42">
        <v>8</v>
      </c>
    </row>
    <row r="33" spans="1:9" x14ac:dyDescent="0.25">
      <c r="A33" s="42">
        <v>1</v>
      </c>
      <c r="B33" s="42" t="s">
        <v>1204</v>
      </c>
      <c r="C33" s="42" t="s">
        <v>3380</v>
      </c>
      <c r="D33" s="53" t="s">
        <v>3355</v>
      </c>
      <c r="E33" s="42">
        <v>1</v>
      </c>
      <c r="F33" s="47" t="s">
        <v>582</v>
      </c>
      <c r="G33" s="42" t="s">
        <v>3347</v>
      </c>
      <c r="H33" s="42"/>
      <c r="I33" s="42">
        <v>7</v>
      </c>
    </row>
    <row r="34" spans="1:9" x14ac:dyDescent="0.25">
      <c r="A34" s="42">
        <v>1</v>
      </c>
      <c r="B34" s="42" t="s">
        <v>1204</v>
      </c>
      <c r="C34" s="42" t="s">
        <v>3380</v>
      </c>
      <c r="D34" s="53" t="s">
        <v>3355</v>
      </c>
      <c r="E34" s="42">
        <v>1</v>
      </c>
      <c r="F34" s="47" t="s">
        <v>602</v>
      </c>
      <c r="G34" s="42" t="s">
        <v>3348</v>
      </c>
      <c r="H34" s="42"/>
      <c r="I34" s="42">
        <v>6</v>
      </c>
    </row>
    <row r="35" spans="1:9" x14ac:dyDescent="0.25">
      <c r="A35" s="42">
        <v>1</v>
      </c>
      <c r="B35" s="42" t="s">
        <v>1204</v>
      </c>
      <c r="C35" s="42" t="s">
        <v>3380</v>
      </c>
      <c r="D35" s="53" t="s">
        <v>3355</v>
      </c>
      <c r="E35" s="42">
        <v>1</v>
      </c>
      <c r="F35" s="47" t="s">
        <v>450</v>
      </c>
      <c r="G35" s="42" t="s">
        <v>452</v>
      </c>
      <c r="H35" s="46"/>
      <c r="I35" s="42">
        <v>5</v>
      </c>
    </row>
    <row r="36" spans="1:9" x14ac:dyDescent="0.25">
      <c r="A36" s="42">
        <v>1</v>
      </c>
      <c r="B36" s="42" t="s">
        <v>1204</v>
      </c>
      <c r="C36" s="42" t="s">
        <v>3380</v>
      </c>
      <c r="D36" s="53" t="s">
        <v>3355</v>
      </c>
      <c r="E36" s="42">
        <v>1</v>
      </c>
      <c r="F36" s="47" t="s">
        <v>465</v>
      </c>
      <c r="G36" s="42" t="s">
        <v>3349</v>
      </c>
      <c r="H36" s="42"/>
      <c r="I36" s="42">
        <v>4</v>
      </c>
    </row>
    <row r="37" spans="1:9" x14ac:dyDescent="0.25">
      <c r="A37" s="42">
        <v>1</v>
      </c>
      <c r="B37" s="42" t="s">
        <v>1204</v>
      </c>
      <c r="C37" s="42" t="s">
        <v>3380</v>
      </c>
      <c r="D37" s="53" t="s">
        <v>3355</v>
      </c>
      <c r="E37" s="42">
        <v>1</v>
      </c>
      <c r="F37" s="47" t="s">
        <v>587</v>
      </c>
      <c r="G37" s="42" t="s">
        <v>588</v>
      </c>
      <c r="H37" s="42"/>
      <c r="I37" s="42">
        <v>3</v>
      </c>
    </row>
    <row r="38" spans="1:9" x14ac:dyDescent="0.25">
      <c r="A38" s="42">
        <v>1</v>
      </c>
      <c r="B38" s="42" t="s">
        <v>1204</v>
      </c>
      <c r="C38" s="42" t="s">
        <v>3380</v>
      </c>
      <c r="D38" s="53" t="s">
        <v>3355</v>
      </c>
      <c r="E38" s="42">
        <v>1</v>
      </c>
      <c r="F38" s="47" t="s">
        <v>438</v>
      </c>
      <c r="G38" s="42" t="s">
        <v>439</v>
      </c>
      <c r="H38" s="42"/>
      <c r="I38" s="42">
        <v>2</v>
      </c>
    </row>
    <row r="39" spans="1:9" x14ac:dyDescent="0.25">
      <c r="A39" s="42">
        <v>1</v>
      </c>
      <c r="B39" s="42" t="s">
        <v>1204</v>
      </c>
      <c r="C39" s="42" t="s">
        <v>3380</v>
      </c>
      <c r="D39" s="53" t="s">
        <v>3355</v>
      </c>
      <c r="E39" s="42">
        <v>1</v>
      </c>
      <c r="F39" s="47" t="s">
        <v>660</v>
      </c>
      <c r="G39" s="42" t="s">
        <v>662</v>
      </c>
      <c r="H39" s="46"/>
      <c r="I39" s="42">
        <v>1</v>
      </c>
    </row>
    <row r="40" spans="1:9" x14ac:dyDescent="0.25">
      <c r="A40" s="42">
        <v>1</v>
      </c>
      <c r="B40" s="42" t="s">
        <v>1204</v>
      </c>
      <c r="C40" s="42" t="s">
        <v>3380</v>
      </c>
      <c r="D40" s="53" t="s">
        <v>3355</v>
      </c>
      <c r="E40" s="42"/>
      <c r="F40" s="42"/>
      <c r="G40" s="42"/>
      <c r="H40" s="42"/>
      <c r="I40" s="42"/>
    </row>
    <row r="41" spans="1:9" x14ac:dyDescent="0.25">
      <c r="A41" s="42">
        <v>1</v>
      </c>
      <c r="B41" s="42" t="s">
        <v>1192</v>
      </c>
      <c r="C41" s="42" t="s">
        <v>3378</v>
      </c>
      <c r="D41" s="53" t="s">
        <v>3399</v>
      </c>
      <c r="E41" s="42"/>
      <c r="F41" s="42"/>
      <c r="G41" s="42"/>
      <c r="H41" s="42"/>
      <c r="I41" s="42"/>
    </row>
    <row r="42" spans="1:9" x14ac:dyDescent="0.25">
      <c r="A42" s="42">
        <v>1</v>
      </c>
      <c r="B42" s="42" t="s">
        <v>1190</v>
      </c>
      <c r="C42" s="42" t="s">
        <v>3376</v>
      </c>
      <c r="D42" s="53" t="s">
        <v>3399</v>
      </c>
      <c r="E42" s="42"/>
      <c r="F42" s="42"/>
      <c r="G42" s="42"/>
      <c r="H42" s="42"/>
      <c r="I42" s="42"/>
    </row>
    <row r="43" spans="1:9" x14ac:dyDescent="0.25">
      <c r="A43" s="42">
        <v>1</v>
      </c>
      <c r="B43" s="42" t="s">
        <v>1184</v>
      </c>
      <c r="C43" s="42" t="s">
        <v>3375</v>
      </c>
      <c r="D43" s="53" t="s">
        <v>3399</v>
      </c>
      <c r="E43" s="42"/>
      <c r="F43" s="42"/>
      <c r="G43" s="42"/>
      <c r="H43" s="42"/>
      <c r="I43" s="42"/>
    </row>
    <row r="44" spans="1:9" x14ac:dyDescent="0.25">
      <c r="A44" s="42">
        <v>1</v>
      </c>
      <c r="B44" s="42">
        <v>38197195</v>
      </c>
      <c r="C44" s="42" t="s">
        <v>3397</v>
      </c>
      <c r="D44" s="53" t="s">
        <v>3351</v>
      </c>
      <c r="E44" s="42"/>
      <c r="F44" s="42"/>
      <c r="G44" s="42"/>
      <c r="H44" s="42"/>
      <c r="I44" s="42"/>
    </row>
    <row r="45" spans="1:9" x14ac:dyDescent="0.25">
      <c r="A45" s="42">
        <v>1</v>
      </c>
      <c r="B45" s="42">
        <v>38197195</v>
      </c>
      <c r="C45" s="42" t="s">
        <v>3397</v>
      </c>
      <c r="D45" s="53" t="s">
        <v>3351</v>
      </c>
      <c r="E45" s="42"/>
      <c r="F45" s="42"/>
      <c r="G45" s="42"/>
      <c r="H45" s="42"/>
      <c r="I45" s="42"/>
    </row>
    <row r="46" spans="1:9" x14ac:dyDescent="0.25">
      <c r="A46" s="42">
        <v>1</v>
      </c>
      <c r="B46" s="42" t="s">
        <v>1187</v>
      </c>
      <c r="C46" s="42" t="s">
        <v>3377</v>
      </c>
      <c r="D46" s="53" t="s">
        <v>3399</v>
      </c>
      <c r="E46" s="42"/>
      <c r="F46" s="42"/>
      <c r="G46" s="42"/>
      <c r="H46" s="42"/>
      <c r="I46" s="42"/>
    </row>
    <row r="47" spans="1:9" x14ac:dyDescent="0.25">
      <c r="A47" s="42">
        <v>1</v>
      </c>
      <c r="B47" s="42" t="s">
        <v>1200</v>
      </c>
      <c r="C47" s="42" t="s">
        <v>3383</v>
      </c>
      <c r="D47" s="53" t="s">
        <v>3400</v>
      </c>
      <c r="E47" s="42"/>
      <c r="F47" s="42"/>
      <c r="G47" s="42"/>
      <c r="H47" s="42"/>
      <c r="I47" s="42"/>
    </row>
    <row r="48" spans="1:9" x14ac:dyDescent="0.25">
      <c r="A48" s="42">
        <v>1</v>
      </c>
      <c r="B48" s="42" t="s">
        <v>1200</v>
      </c>
      <c r="C48" s="42" t="s">
        <v>3383</v>
      </c>
      <c r="D48" s="53" t="s">
        <v>3400</v>
      </c>
      <c r="E48" s="42"/>
      <c r="F48" s="42"/>
      <c r="G48" s="42"/>
      <c r="H48" s="42"/>
      <c r="I48" s="42"/>
    </row>
    <row r="49" spans="1:9" x14ac:dyDescent="0.25">
      <c r="A49" s="42">
        <v>1</v>
      </c>
      <c r="B49" s="42" t="s">
        <v>1200</v>
      </c>
      <c r="C49" s="42" t="s">
        <v>3383</v>
      </c>
      <c r="D49" s="53" t="s">
        <v>3400</v>
      </c>
      <c r="E49" s="42"/>
      <c r="F49" s="42"/>
      <c r="G49" s="42"/>
      <c r="H49" s="42"/>
      <c r="I49" s="42"/>
    </row>
    <row r="50" spans="1:9" x14ac:dyDescent="0.25">
      <c r="A50" s="42">
        <v>1</v>
      </c>
      <c r="B50" s="42" t="s">
        <v>1200</v>
      </c>
      <c r="C50" s="42" t="s">
        <v>3383</v>
      </c>
      <c r="D50" s="53" t="s">
        <v>3400</v>
      </c>
      <c r="E50" s="42"/>
      <c r="F50" s="42"/>
      <c r="G50" s="42"/>
      <c r="H50" s="42"/>
      <c r="I50" s="42"/>
    </row>
    <row r="51" spans="1:9" x14ac:dyDescent="0.25">
      <c r="A51" s="42">
        <v>1</v>
      </c>
      <c r="B51" s="42" t="s">
        <v>3361</v>
      </c>
      <c r="C51" s="42" t="s">
        <v>3391</v>
      </c>
      <c r="D51" s="53" t="s">
        <v>3351</v>
      </c>
      <c r="E51" s="42"/>
      <c r="F51" s="42"/>
      <c r="G51" s="42"/>
      <c r="H51" s="42"/>
      <c r="I51" s="42"/>
    </row>
    <row r="52" spans="1:9" x14ac:dyDescent="0.25">
      <c r="A52" s="42">
        <v>1</v>
      </c>
      <c r="B52" s="42" t="s">
        <v>3362</v>
      </c>
      <c r="C52" s="42" t="s">
        <v>3394</v>
      </c>
      <c r="D52" s="53" t="s">
        <v>3351</v>
      </c>
      <c r="E52" s="42"/>
      <c r="F52" s="42"/>
      <c r="G52" s="42"/>
      <c r="H52" s="42"/>
      <c r="I52" s="42"/>
    </row>
    <row r="53" spans="1:9" x14ac:dyDescent="0.25">
      <c r="A53" s="42">
        <v>1</v>
      </c>
      <c r="B53" s="42" t="s">
        <v>994</v>
      </c>
      <c r="C53" s="42" t="s">
        <v>3390</v>
      </c>
      <c r="D53" s="53" t="s">
        <v>3351</v>
      </c>
      <c r="E53" s="42"/>
      <c r="F53" s="42"/>
      <c r="G53" s="42"/>
      <c r="H53" s="42"/>
      <c r="I53" s="42"/>
    </row>
    <row r="54" spans="1:9" x14ac:dyDescent="0.25">
      <c r="A54" s="42">
        <v>1</v>
      </c>
      <c r="B54" s="42" t="s">
        <v>1089</v>
      </c>
      <c r="C54" s="42" t="s">
        <v>3370</v>
      </c>
      <c r="D54" s="53" t="s">
        <v>3399</v>
      </c>
      <c r="E54" s="42"/>
      <c r="F54" s="42"/>
      <c r="G54" s="42"/>
      <c r="H54" s="42"/>
      <c r="I54" s="42"/>
    </row>
    <row r="55" spans="1:9" x14ac:dyDescent="0.25">
      <c r="A55" s="42">
        <v>1</v>
      </c>
      <c r="B55" s="42" t="s">
        <v>3363</v>
      </c>
      <c r="C55" s="42" t="s">
        <v>3395</v>
      </c>
      <c r="D55" s="53" t="s">
        <v>3351</v>
      </c>
      <c r="E55" s="42"/>
      <c r="F55" s="42"/>
      <c r="G55" s="42"/>
      <c r="H55" s="42"/>
      <c r="I55" s="42"/>
    </row>
    <row r="56" spans="1:9" x14ac:dyDescent="0.25">
      <c r="A56" s="42">
        <v>1</v>
      </c>
      <c r="B56" s="42" t="s">
        <v>3353</v>
      </c>
      <c r="C56" s="42" t="s">
        <v>3369</v>
      </c>
      <c r="D56" s="53" t="s">
        <v>3351</v>
      </c>
      <c r="E56" s="42"/>
      <c r="F56" s="42"/>
      <c r="G56" s="42"/>
      <c r="H56" s="42"/>
      <c r="I56" s="42"/>
    </row>
    <row r="57" spans="1:9" x14ac:dyDescent="0.25">
      <c r="A57" s="42">
        <v>1</v>
      </c>
      <c r="B57" s="42" t="s">
        <v>3355</v>
      </c>
      <c r="C57" s="42" t="s">
        <v>3369</v>
      </c>
      <c r="D57" s="53" t="s">
        <v>3399</v>
      </c>
      <c r="E57" s="42"/>
      <c r="F57" s="42"/>
      <c r="G57" s="42"/>
      <c r="H57" s="42"/>
      <c r="I57" s="42"/>
    </row>
    <row r="58" spans="1:9" ht="30" x14ac:dyDescent="0.25">
      <c r="A58" s="42">
        <v>1</v>
      </c>
      <c r="B58" s="42" t="s">
        <v>3356</v>
      </c>
      <c r="C58" s="42" t="s">
        <v>3369</v>
      </c>
      <c r="D58" s="53" t="s">
        <v>3399</v>
      </c>
      <c r="E58" s="42"/>
      <c r="F58" s="42"/>
      <c r="G58" s="42"/>
      <c r="H58" s="42"/>
      <c r="I58" s="42"/>
    </row>
    <row r="59" spans="1:9" ht="30" x14ac:dyDescent="0.25">
      <c r="A59" s="42">
        <v>1</v>
      </c>
      <c r="B59" s="42" t="s">
        <v>3357</v>
      </c>
      <c r="C59" s="42" t="s">
        <v>3369</v>
      </c>
      <c r="D59" s="53" t="s">
        <v>3351</v>
      </c>
      <c r="E59" s="42"/>
      <c r="F59" s="42"/>
      <c r="G59" s="42"/>
      <c r="H59" s="42"/>
      <c r="I59" s="42"/>
    </row>
    <row r="60" spans="1:9" x14ac:dyDescent="0.25">
      <c r="A60" s="42">
        <v>1</v>
      </c>
      <c r="B60" s="42" t="s">
        <v>3352</v>
      </c>
      <c r="C60" s="42" t="s">
        <v>3368</v>
      </c>
      <c r="D60" s="53" t="s">
        <v>3351</v>
      </c>
      <c r="E60" s="42"/>
      <c r="F60" s="42"/>
      <c r="G60" s="42"/>
      <c r="H60" s="42"/>
      <c r="I60" s="42"/>
    </row>
    <row r="61" spans="1:9" x14ac:dyDescent="0.25">
      <c r="A61" s="42">
        <v>1</v>
      </c>
      <c r="B61" s="42" t="s">
        <v>3359</v>
      </c>
      <c r="C61" s="42" t="s">
        <v>3387</v>
      </c>
      <c r="D61" s="53" t="s">
        <v>3351</v>
      </c>
      <c r="E61" s="42"/>
      <c r="F61" s="42"/>
      <c r="G61" s="42"/>
      <c r="H61" s="42"/>
      <c r="I61" s="42"/>
    </row>
    <row r="62" spans="1:9" x14ac:dyDescent="0.25">
      <c r="A62" s="42">
        <v>1</v>
      </c>
      <c r="B62" s="42" t="s">
        <v>3360</v>
      </c>
      <c r="C62" s="42" t="s">
        <v>3388</v>
      </c>
      <c r="D62" s="53" t="s">
        <v>3351</v>
      </c>
      <c r="E62" s="42"/>
      <c r="F62" s="42"/>
      <c r="G62" s="42"/>
      <c r="H62" s="42"/>
      <c r="I62" s="42"/>
    </row>
    <row r="63" spans="1:9" x14ac:dyDescent="0.25">
      <c r="A63" s="42">
        <v>1</v>
      </c>
      <c r="B63" s="42" t="s">
        <v>3364</v>
      </c>
      <c r="C63" s="42" t="s">
        <v>3396</v>
      </c>
      <c r="D63" s="53" t="s">
        <v>3351</v>
      </c>
      <c r="E63" s="42"/>
      <c r="F63" s="42"/>
      <c r="G63" s="42"/>
      <c r="H63" s="42"/>
      <c r="I63" s="42"/>
    </row>
    <row r="64" spans="1:9" x14ac:dyDescent="0.25">
      <c r="A64" s="42">
        <v>1</v>
      </c>
      <c r="B64" s="42" t="s">
        <v>1153</v>
      </c>
      <c r="C64" s="42" t="s">
        <v>3392</v>
      </c>
      <c r="D64" s="53" t="s">
        <v>3351</v>
      </c>
      <c r="E64" s="42"/>
      <c r="F64" s="42"/>
      <c r="G64" s="42"/>
      <c r="H64" s="42"/>
      <c r="I64" s="42"/>
    </row>
    <row r="65" spans="1:9" x14ac:dyDescent="0.25">
      <c r="A65" s="42">
        <v>1</v>
      </c>
      <c r="B65" s="42" t="s">
        <v>1198</v>
      </c>
      <c r="C65" s="42" t="s">
        <v>3372</v>
      </c>
      <c r="D65" s="53" t="s">
        <v>3399</v>
      </c>
      <c r="E65" s="42"/>
      <c r="F65" s="42"/>
      <c r="G65" s="42"/>
      <c r="H65" s="42"/>
      <c r="I65" s="42"/>
    </row>
    <row r="66" spans="1:9" x14ac:dyDescent="0.25">
      <c r="A66" s="42">
        <v>1</v>
      </c>
      <c r="B66" s="42" t="s">
        <v>999</v>
      </c>
      <c r="C66" s="42" t="s">
        <v>3373</v>
      </c>
      <c r="D66" s="53" t="s">
        <v>3399</v>
      </c>
      <c r="E66" s="42"/>
      <c r="F66" s="42"/>
      <c r="G66" s="42"/>
      <c r="H66" s="42"/>
      <c r="I66" s="42"/>
    </row>
    <row r="67" spans="1:9" x14ac:dyDescent="0.25">
      <c r="A67" s="42">
        <v>1</v>
      </c>
      <c r="B67" s="42" t="s">
        <v>1001</v>
      </c>
      <c r="C67" s="42" t="s">
        <v>3379</v>
      </c>
      <c r="D67" s="53" t="s">
        <v>3399</v>
      </c>
      <c r="E67" s="42"/>
      <c r="F67" s="42"/>
      <c r="G67" s="42"/>
      <c r="H67" s="42"/>
      <c r="I67" s="42"/>
    </row>
    <row r="68" spans="1:9" x14ac:dyDescent="0.25">
      <c r="A68" s="42">
        <v>1</v>
      </c>
      <c r="B68" s="42" t="s">
        <v>3354</v>
      </c>
      <c r="C68" s="42" t="s">
        <v>3371</v>
      </c>
      <c r="D68" s="53" t="s">
        <v>3399</v>
      </c>
      <c r="E68" s="42"/>
      <c r="F68" s="42"/>
      <c r="G68" s="42"/>
      <c r="H68" s="42"/>
      <c r="I68" s="42"/>
    </row>
    <row r="69" spans="1:9" x14ac:dyDescent="0.25">
      <c r="A69" s="42">
        <v>1</v>
      </c>
      <c r="B69" s="42" t="s">
        <v>1195</v>
      </c>
      <c r="C69" s="42" t="s">
        <v>3393</v>
      </c>
      <c r="D69" s="53" t="s">
        <v>3351</v>
      </c>
      <c r="E69" s="42"/>
      <c r="F69" s="42"/>
      <c r="G69" s="42"/>
      <c r="H69" s="42"/>
      <c r="I69" s="42"/>
    </row>
    <row r="70" spans="1:9" x14ac:dyDescent="0.25">
      <c r="A70" s="42">
        <v>1</v>
      </c>
      <c r="B70" s="42" t="s">
        <v>1092</v>
      </c>
      <c r="C70" s="42" t="s">
        <v>3374</v>
      </c>
      <c r="D70" s="53" t="s">
        <v>3399</v>
      </c>
      <c r="E70" s="42"/>
      <c r="F70" s="42"/>
      <c r="G70" s="42"/>
      <c r="H70" s="42"/>
      <c r="I70" s="42"/>
    </row>
    <row r="71" spans="1:9" x14ac:dyDescent="0.25">
      <c r="A71" s="42">
        <v>1</v>
      </c>
      <c r="B71" s="42" t="s">
        <v>253</v>
      </c>
      <c r="C71" s="42" t="s">
        <v>3386</v>
      </c>
      <c r="D71" s="53" t="s">
        <v>3351</v>
      </c>
      <c r="E71" s="42"/>
      <c r="F71" s="42"/>
      <c r="G71" s="42"/>
      <c r="H71" s="42"/>
      <c r="I71" s="42"/>
    </row>
    <row r="72" spans="1:9" x14ac:dyDescent="0.25">
      <c r="A72" s="42">
        <v>1</v>
      </c>
      <c r="B72" s="42" t="s">
        <v>253</v>
      </c>
      <c r="C72" s="42" t="s">
        <v>3386</v>
      </c>
      <c r="D72" s="53" t="s">
        <v>3351</v>
      </c>
      <c r="E72" s="42"/>
      <c r="F72" s="42"/>
      <c r="G72" s="42"/>
      <c r="H72" s="42"/>
      <c r="I72" s="42"/>
    </row>
    <row r="73" spans="1:9" x14ac:dyDescent="0.25">
      <c r="A73" s="42">
        <v>1</v>
      </c>
      <c r="B73" s="42" t="s">
        <v>253</v>
      </c>
      <c r="C73" s="42" t="s">
        <v>3386</v>
      </c>
      <c r="D73" s="53" t="s">
        <v>3351</v>
      </c>
      <c r="E73" s="42"/>
      <c r="F73" s="42"/>
      <c r="G73" s="42"/>
      <c r="H73" s="42"/>
      <c r="I73" s="42"/>
    </row>
    <row r="74" spans="1:9" x14ac:dyDescent="0.25">
      <c r="A74" s="42">
        <v>1</v>
      </c>
      <c r="B74" s="42" t="s">
        <v>253</v>
      </c>
      <c r="C74" s="42" t="s">
        <v>3386</v>
      </c>
      <c r="D74" s="53" t="s">
        <v>3351</v>
      </c>
      <c r="E74" s="42"/>
      <c r="F74" s="42"/>
      <c r="G74" s="42"/>
      <c r="H74" s="42"/>
      <c r="I74" s="42"/>
    </row>
    <row r="75" spans="1:9" x14ac:dyDescent="0.25">
      <c r="A75" s="42">
        <v>1</v>
      </c>
      <c r="B75" s="42" t="s">
        <v>3358</v>
      </c>
      <c r="C75" s="42" t="s">
        <v>3384</v>
      </c>
      <c r="D75" s="53" t="s">
        <v>3400</v>
      </c>
      <c r="E75" s="42"/>
      <c r="F75" s="42"/>
      <c r="G75" s="42"/>
      <c r="H75" s="42"/>
      <c r="I75" s="42"/>
    </row>
    <row r="76" spans="1:9" x14ac:dyDescent="0.25">
      <c r="A76" s="42">
        <v>1</v>
      </c>
      <c r="B76" s="42" t="s">
        <v>3358</v>
      </c>
      <c r="C76" s="42" t="s">
        <v>3384</v>
      </c>
      <c r="D76" s="53" t="s">
        <v>3400</v>
      </c>
      <c r="E76" s="42"/>
      <c r="F76" s="42"/>
      <c r="G76" s="42"/>
      <c r="H76" s="42"/>
      <c r="I76" s="42"/>
    </row>
    <row r="77" spans="1:9" x14ac:dyDescent="0.25">
      <c r="A77" s="42">
        <v>1</v>
      </c>
      <c r="B77" s="42" t="s">
        <v>3358</v>
      </c>
      <c r="C77" s="42" t="s">
        <v>3384</v>
      </c>
      <c r="D77" s="53" t="s">
        <v>3400</v>
      </c>
      <c r="E77" s="42"/>
      <c r="F77" s="42"/>
      <c r="G77" s="42"/>
      <c r="H77" s="42"/>
      <c r="I77" s="42"/>
    </row>
    <row r="78" spans="1:9" x14ac:dyDescent="0.25">
      <c r="A78" s="42">
        <v>1</v>
      </c>
      <c r="B78" s="42" t="s">
        <v>3358</v>
      </c>
      <c r="C78" s="42" t="s">
        <v>3384</v>
      </c>
      <c r="D78" s="53" t="s">
        <v>3400</v>
      </c>
      <c r="E78" s="42"/>
      <c r="F78" s="42"/>
      <c r="G78" s="42"/>
      <c r="H78" s="42"/>
      <c r="I78" s="42"/>
    </row>
    <row r="79" spans="1:9" x14ac:dyDescent="0.25">
      <c r="A79" s="42">
        <v>1</v>
      </c>
      <c r="B79" s="42" t="s">
        <v>3358</v>
      </c>
      <c r="C79" s="42" t="s">
        <v>3384</v>
      </c>
      <c r="D79" s="53" t="s">
        <v>3400</v>
      </c>
      <c r="E79" s="42"/>
      <c r="F79" s="42"/>
      <c r="G79" s="42"/>
      <c r="H79" s="42"/>
      <c r="I79" s="42"/>
    </row>
    <row r="80" spans="1:9" x14ac:dyDescent="0.25">
      <c r="A80" s="42">
        <v>1</v>
      </c>
      <c r="B80" s="42" t="s">
        <v>3358</v>
      </c>
      <c r="C80" s="42" t="s">
        <v>3384</v>
      </c>
      <c r="D80" s="53" t="s">
        <v>3400</v>
      </c>
      <c r="E80" s="42"/>
      <c r="F80" s="42"/>
      <c r="G80" s="42"/>
      <c r="H80" s="42"/>
      <c r="I80" s="42"/>
    </row>
    <row r="81" spans="1:9" x14ac:dyDescent="0.25">
      <c r="A81" s="42">
        <v>1</v>
      </c>
      <c r="B81" s="42" t="s">
        <v>1202</v>
      </c>
      <c r="C81" s="42" t="s">
        <v>3385</v>
      </c>
      <c r="D81" s="53" t="s">
        <v>3351</v>
      </c>
      <c r="E81" s="42"/>
      <c r="F81" s="42"/>
      <c r="G81" s="42"/>
      <c r="H81" s="42"/>
      <c r="I81" s="42"/>
    </row>
    <row r="82" spans="1:9" x14ac:dyDescent="0.25">
      <c r="A82" s="42">
        <v>1</v>
      </c>
      <c r="B82" s="42" t="s">
        <v>1202</v>
      </c>
      <c r="C82" s="42" t="s">
        <v>3385</v>
      </c>
      <c r="D82" s="53" t="s">
        <v>3351</v>
      </c>
      <c r="E82" s="42"/>
      <c r="F82" s="42"/>
      <c r="G82" s="42"/>
      <c r="H82" s="42"/>
      <c r="I82" s="42"/>
    </row>
    <row r="83" spans="1:9" x14ac:dyDescent="0.25">
      <c r="A83" s="42">
        <v>1</v>
      </c>
      <c r="B83" s="42" t="s">
        <v>1202</v>
      </c>
      <c r="C83" s="42" t="s">
        <v>3385</v>
      </c>
      <c r="D83" s="53" t="s">
        <v>3351</v>
      </c>
      <c r="E83" s="42"/>
      <c r="F83" s="42"/>
      <c r="G83" s="42"/>
      <c r="H83" s="42"/>
      <c r="I83" s="42"/>
    </row>
    <row r="84" spans="1:9" x14ac:dyDescent="0.25">
      <c r="A84" s="42">
        <v>1</v>
      </c>
      <c r="B84" s="42" t="s">
        <v>1202</v>
      </c>
      <c r="C84" s="42" t="s">
        <v>3385</v>
      </c>
      <c r="D84" s="53" t="s">
        <v>3351</v>
      </c>
      <c r="E84" s="42"/>
      <c r="F84" s="42"/>
      <c r="G84" s="42"/>
      <c r="H84" s="42"/>
      <c r="I84" s="42"/>
    </row>
    <row r="85" spans="1:9" x14ac:dyDescent="0.25">
      <c r="A85" s="42">
        <v>1</v>
      </c>
      <c r="B85" s="42" t="s">
        <v>275</v>
      </c>
      <c r="C85" s="42" t="s">
        <v>3389</v>
      </c>
      <c r="D85" s="53" t="s">
        <v>3351</v>
      </c>
      <c r="E85" s="42"/>
      <c r="F85" s="42"/>
      <c r="G85" s="42"/>
      <c r="H85" s="42"/>
      <c r="I85" s="42"/>
    </row>
    <row r="86" spans="1:9" x14ac:dyDescent="0.25">
      <c r="A86" s="42">
        <v>1</v>
      </c>
      <c r="B86" s="42" t="s">
        <v>455</v>
      </c>
      <c r="C86" s="42" t="s">
        <v>3381</v>
      </c>
      <c r="D86" s="53" t="s">
        <v>3356</v>
      </c>
      <c r="E86" s="42"/>
      <c r="F86" s="42"/>
      <c r="G86" s="42"/>
      <c r="H86" s="42"/>
      <c r="I86" s="42"/>
    </row>
    <row r="87" spans="1:9" x14ac:dyDescent="0.25">
      <c r="A87" s="42">
        <v>1</v>
      </c>
      <c r="B87" s="42" t="s">
        <v>455</v>
      </c>
      <c r="C87" s="42" t="s">
        <v>3381</v>
      </c>
      <c r="D87" s="53" t="s">
        <v>3356</v>
      </c>
      <c r="E87" s="42"/>
      <c r="F87" s="42"/>
      <c r="G87" s="42"/>
      <c r="H87" s="42"/>
      <c r="I87" s="42"/>
    </row>
    <row r="88" spans="1:9" x14ac:dyDescent="0.25">
      <c r="A88" s="42"/>
      <c r="B88" s="42"/>
      <c r="C88" s="42"/>
      <c r="E88" s="42"/>
      <c r="F88" s="42"/>
      <c r="G88" s="42"/>
      <c r="H88" s="42"/>
      <c r="I88" s="42"/>
    </row>
    <row r="89" spans="1:9" x14ac:dyDescent="0.25">
      <c r="A89" s="42"/>
      <c r="B89" s="42"/>
      <c r="C89" s="42"/>
      <c r="E89" s="42"/>
      <c r="F89" s="42"/>
      <c r="G89" s="42"/>
      <c r="H89" s="42"/>
      <c r="I89" s="42"/>
    </row>
    <row r="90" spans="1:9" x14ac:dyDescent="0.25">
      <c r="A90" s="42"/>
      <c r="B90" s="42"/>
      <c r="C90" s="42"/>
      <c r="E90" s="42"/>
      <c r="F90" s="42"/>
      <c r="G90" s="42"/>
      <c r="H90" s="42"/>
      <c r="I90" s="42"/>
    </row>
    <row r="91" spans="1:9" x14ac:dyDescent="0.25">
      <c r="A91" s="42"/>
      <c r="B91" s="42"/>
      <c r="C91" s="42"/>
      <c r="E91" s="42"/>
      <c r="F91" s="42"/>
      <c r="G91" s="42"/>
      <c r="H91" s="42"/>
      <c r="I91" s="42"/>
    </row>
    <row r="92" spans="1:9" x14ac:dyDescent="0.25">
      <c r="A92" s="42"/>
      <c r="B92" s="42"/>
      <c r="C92" s="42"/>
      <c r="E92" s="42"/>
      <c r="F92" s="42"/>
      <c r="G92" s="42"/>
      <c r="H92" s="42"/>
      <c r="I92" s="42"/>
    </row>
    <row r="93" spans="1:9" x14ac:dyDescent="0.25">
      <c r="A93" s="42"/>
      <c r="B93" s="42"/>
      <c r="C93" s="42"/>
      <c r="E93" s="42"/>
      <c r="F93" s="42"/>
      <c r="G93" s="42"/>
      <c r="H93" s="42"/>
      <c r="I93" s="42"/>
    </row>
    <row r="94" spans="1:9" x14ac:dyDescent="0.25">
      <c r="A94" s="42"/>
      <c r="B94" s="42"/>
      <c r="C94" s="42"/>
      <c r="E94" s="42"/>
      <c r="F94" s="42"/>
      <c r="G94" s="42"/>
      <c r="H94" s="42"/>
      <c r="I94" s="42"/>
    </row>
    <row r="95" spans="1:9" x14ac:dyDescent="0.25">
      <c r="A95" s="42"/>
      <c r="B95" s="42"/>
      <c r="C95" s="42"/>
      <c r="E95" s="42"/>
      <c r="F95" s="42"/>
      <c r="G95" s="42"/>
      <c r="H95" s="42"/>
      <c r="I95" s="42"/>
    </row>
    <row r="96" spans="1:9" x14ac:dyDescent="0.25">
      <c r="A96" s="42"/>
      <c r="B96" s="42"/>
      <c r="C96" s="42"/>
      <c r="E96" s="42"/>
      <c r="F96" s="42"/>
      <c r="G96" s="42"/>
      <c r="H96" s="42"/>
      <c r="I96" s="42"/>
    </row>
    <row r="97" spans="1:9" x14ac:dyDescent="0.25">
      <c r="A97" s="42"/>
      <c r="B97" s="42"/>
      <c r="C97" s="42"/>
      <c r="E97" s="42"/>
      <c r="F97" s="42"/>
      <c r="G97" s="42"/>
      <c r="H97" s="42"/>
      <c r="I97" s="42"/>
    </row>
    <row r="98" spans="1:9" x14ac:dyDescent="0.25">
      <c r="A98" s="42"/>
      <c r="B98" s="42"/>
      <c r="C98" s="42"/>
      <c r="E98" s="42"/>
      <c r="F98" s="42"/>
      <c r="G98" s="42"/>
      <c r="H98" s="42"/>
      <c r="I98" s="42"/>
    </row>
    <row r="99" spans="1:9" x14ac:dyDescent="0.25">
      <c r="A99" s="42"/>
      <c r="B99" s="42"/>
      <c r="C99" s="42"/>
      <c r="E99" s="42"/>
      <c r="F99" s="42"/>
      <c r="G99" s="42"/>
      <c r="H99" s="42"/>
      <c r="I99" s="42"/>
    </row>
    <row r="100" spans="1:9" x14ac:dyDescent="0.25">
      <c r="A100" s="42"/>
      <c r="B100" s="42"/>
      <c r="C100" s="42"/>
      <c r="E100" s="42"/>
      <c r="F100" s="42"/>
      <c r="G100" s="42"/>
      <c r="H100" s="42"/>
      <c r="I100" s="42"/>
    </row>
    <row r="101" spans="1:9" x14ac:dyDescent="0.25">
      <c r="A101" s="42"/>
      <c r="B101" s="42"/>
      <c r="C101" s="42"/>
      <c r="E101" s="42"/>
      <c r="F101" s="42"/>
      <c r="G101" s="42"/>
      <c r="H101" s="42"/>
      <c r="I101" s="42"/>
    </row>
    <row r="102" spans="1:9" x14ac:dyDescent="0.25">
      <c r="A102" s="42"/>
      <c r="B102" s="42"/>
      <c r="C102" s="42"/>
      <c r="E102" s="42"/>
      <c r="F102" s="42"/>
      <c r="G102" s="42"/>
      <c r="H102" s="42"/>
      <c r="I102" s="42"/>
    </row>
    <row r="103" spans="1:9" x14ac:dyDescent="0.25">
      <c r="A103" s="42"/>
      <c r="B103" s="42"/>
      <c r="C103" s="42"/>
      <c r="E103" s="42"/>
      <c r="F103" s="42"/>
      <c r="G103" s="42"/>
      <c r="H103" s="42"/>
      <c r="I103" s="42"/>
    </row>
    <row r="104" spans="1:9" x14ac:dyDescent="0.25">
      <c r="A104" s="42"/>
      <c r="B104" s="42"/>
      <c r="C104" s="42"/>
      <c r="E104" s="42"/>
      <c r="F104" s="42"/>
      <c r="G104" s="42"/>
      <c r="H104" s="42"/>
      <c r="I104" s="42"/>
    </row>
    <row r="105" spans="1:9" x14ac:dyDescent="0.25">
      <c r="A105" s="42"/>
      <c r="B105" s="42"/>
      <c r="C105" s="42"/>
      <c r="E105" s="42"/>
      <c r="F105" s="42"/>
      <c r="G105" s="42"/>
      <c r="H105" s="42"/>
      <c r="I105" s="42"/>
    </row>
    <row r="106" spans="1:9" x14ac:dyDescent="0.25">
      <c r="A106" s="42"/>
      <c r="B106" s="42"/>
      <c r="C106" s="42"/>
      <c r="E106" s="42"/>
      <c r="F106" s="42"/>
      <c r="G106" s="42"/>
      <c r="H106" s="42"/>
      <c r="I106" s="42"/>
    </row>
    <row r="107" spans="1:9" x14ac:dyDescent="0.25">
      <c r="A107" s="42"/>
      <c r="B107" s="42"/>
      <c r="C107" s="42"/>
      <c r="E107" s="42"/>
      <c r="F107" s="42"/>
      <c r="G107" s="42"/>
      <c r="H107" s="42"/>
      <c r="I107" s="42"/>
    </row>
    <row r="108" spans="1:9" x14ac:dyDescent="0.25">
      <c r="A108" s="42"/>
      <c r="B108" s="42"/>
      <c r="C108" s="42"/>
      <c r="E108" s="42"/>
      <c r="F108" s="42"/>
      <c r="G108" s="42"/>
      <c r="H108" s="42"/>
      <c r="I108" s="42"/>
    </row>
    <row r="109" spans="1:9" x14ac:dyDescent="0.25">
      <c r="A109" s="42"/>
      <c r="B109" s="42"/>
      <c r="C109" s="42"/>
      <c r="E109" s="42"/>
      <c r="F109" s="42"/>
      <c r="G109" s="42"/>
      <c r="H109" s="42"/>
      <c r="I109" s="42"/>
    </row>
    <row r="110" spans="1:9" x14ac:dyDescent="0.25">
      <c r="A110" s="42"/>
      <c r="B110" s="42"/>
      <c r="C110" s="42"/>
      <c r="E110" s="42"/>
      <c r="F110" s="42"/>
      <c r="G110" s="42"/>
      <c r="H110" s="42"/>
      <c r="I110" s="42"/>
    </row>
    <row r="111" spans="1:9" x14ac:dyDescent="0.25">
      <c r="A111" s="42"/>
      <c r="B111" s="42"/>
      <c r="C111" s="42"/>
      <c r="E111" s="42"/>
      <c r="F111" s="42"/>
      <c r="G111" s="42"/>
      <c r="H111" s="42"/>
      <c r="I111" s="42"/>
    </row>
    <row r="112" spans="1:9" x14ac:dyDescent="0.25">
      <c r="A112" s="42"/>
      <c r="B112" s="42"/>
      <c r="C112" s="42"/>
      <c r="E112" s="42"/>
      <c r="F112" s="42"/>
      <c r="G112" s="42"/>
      <c r="H112" s="42"/>
      <c r="I112" s="42"/>
    </row>
    <row r="113" spans="1:9" x14ac:dyDescent="0.25">
      <c r="A113" s="42"/>
      <c r="B113" s="42"/>
      <c r="C113" s="42"/>
      <c r="E113" s="42"/>
      <c r="F113" s="42"/>
      <c r="G113" s="42"/>
      <c r="H113" s="42"/>
      <c r="I113" s="42"/>
    </row>
    <row r="114" spans="1:9" x14ac:dyDescent="0.25">
      <c r="A114" s="42"/>
      <c r="B114" s="42"/>
      <c r="C114" s="42"/>
      <c r="E114" s="42"/>
      <c r="F114" s="42"/>
      <c r="G114" s="42"/>
      <c r="H114" s="42"/>
      <c r="I114" s="42"/>
    </row>
    <row r="115" spans="1:9" x14ac:dyDescent="0.25">
      <c r="A115" s="42"/>
      <c r="B115" s="42"/>
      <c r="C115" s="42"/>
      <c r="E115" s="42"/>
      <c r="F115" s="42"/>
      <c r="G115" s="42"/>
      <c r="H115" s="42"/>
      <c r="I115" s="42"/>
    </row>
    <row r="116" spans="1:9" x14ac:dyDescent="0.25">
      <c r="A116" s="42"/>
      <c r="B116" s="42"/>
      <c r="C116" s="42"/>
      <c r="E116" s="42"/>
      <c r="F116" s="42"/>
      <c r="G116" s="42"/>
      <c r="H116" s="42"/>
      <c r="I116" s="42"/>
    </row>
    <row r="117" spans="1:9" x14ac:dyDescent="0.25">
      <c r="A117" s="42"/>
      <c r="B117" s="42"/>
      <c r="C117" s="42"/>
      <c r="E117" s="42"/>
      <c r="F117" s="42"/>
      <c r="G117" s="42"/>
      <c r="H117" s="42"/>
      <c r="I117" s="42"/>
    </row>
    <row r="118" spans="1:9" x14ac:dyDescent="0.25">
      <c r="A118" s="42"/>
      <c r="B118" s="42"/>
      <c r="C118" s="42"/>
      <c r="E118" s="42"/>
      <c r="F118" s="42"/>
      <c r="G118" s="42"/>
      <c r="H118" s="42"/>
      <c r="I118" s="42"/>
    </row>
    <row r="119" spans="1:9" x14ac:dyDescent="0.25">
      <c r="A119" s="42"/>
      <c r="B119" s="42"/>
      <c r="C119" s="42"/>
      <c r="E119" s="42"/>
      <c r="F119" s="42"/>
      <c r="G119" s="42"/>
      <c r="H119" s="42"/>
      <c r="I119" s="42"/>
    </row>
    <row r="120" spans="1:9" x14ac:dyDescent="0.25">
      <c r="A120" s="42"/>
      <c r="B120" s="42"/>
      <c r="C120" s="42"/>
      <c r="E120" s="42"/>
      <c r="F120" s="42"/>
      <c r="G120" s="42"/>
      <c r="H120" s="42"/>
      <c r="I120" s="42"/>
    </row>
    <row r="121" spans="1:9" x14ac:dyDescent="0.25">
      <c r="A121" s="42"/>
      <c r="B121" s="42"/>
      <c r="C121" s="42"/>
      <c r="E121" s="42"/>
      <c r="F121" s="42"/>
      <c r="G121" s="42"/>
      <c r="H121" s="42"/>
      <c r="I121" s="42"/>
    </row>
    <row r="122" spans="1:9" x14ac:dyDescent="0.25">
      <c r="A122" s="42"/>
      <c r="B122" s="42"/>
      <c r="C122" s="42"/>
      <c r="E122" s="42"/>
      <c r="F122" s="42"/>
      <c r="G122" s="42"/>
      <c r="H122" s="42"/>
      <c r="I122" s="42"/>
    </row>
    <row r="123" spans="1:9" x14ac:dyDescent="0.25">
      <c r="A123" s="42"/>
      <c r="B123" s="42"/>
      <c r="C123" s="42"/>
      <c r="E123" s="42"/>
      <c r="F123" s="42"/>
      <c r="G123" s="42"/>
      <c r="H123" s="42"/>
      <c r="I123" s="42"/>
    </row>
    <row r="124" spans="1:9" x14ac:dyDescent="0.25">
      <c r="A124" s="42"/>
      <c r="B124" s="42"/>
      <c r="C124" s="42"/>
      <c r="E124" s="42"/>
      <c r="F124" s="42"/>
      <c r="G124" s="42"/>
      <c r="H124" s="42"/>
      <c r="I124" s="42"/>
    </row>
    <row r="125" spans="1:9" x14ac:dyDescent="0.25">
      <c r="A125" s="42"/>
      <c r="B125" s="42"/>
      <c r="C125" s="42"/>
      <c r="E125" s="42"/>
      <c r="F125" s="42"/>
      <c r="G125" s="42"/>
      <c r="H125" s="42"/>
      <c r="I125" s="42"/>
    </row>
    <row r="126" spans="1:9" x14ac:dyDescent="0.25">
      <c r="A126" s="42"/>
      <c r="B126" s="42"/>
      <c r="C126" s="42"/>
      <c r="E126" s="42"/>
      <c r="F126" s="42"/>
      <c r="G126" s="42"/>
      <c r="H126" s="42"/>
      <c r="I126" s="42"/>
    </row>
    <row r="127" spans="1:9" x14ac:dyDescent="0.25">
      <c r="A127" s="42"/>
      <c r="B127" s="42"/>
      <c r="C127" s="42"/>
      <c r="E127" s="42"/>
      <c r="F127" s="42"/>
      <c r="G127" s="42"/>
      <c r="H127" s="42"/>
      <c r="I127" s="42"/>
    </row>
    <row r="128" spans="1:9" x14ac:dyDescent="0.25">
      <c r="A128" s="42"/>
      <c r="B128" s="42"/>
      <c r="C128" s="42"/>
      <c r="E128" s="42"/>
      <c r="F128" s="42"/>
      <c r="G128" s="42"/>
      <c r="H128" s="42"/>
      <c r="I128" s="42"/>
    </row>
    <row r="129" spans="1:9" x14ac:dyDescent="0.25">
      <c r="A129" s="42"/>
      <c r="B129" s="42"/>
      <c r="C129" s="42"/>
      <c r="E129" s="42"/>
      <c r="F129" s="42"/>
      <c r="G129" s="42"/>
      <c r="H129" s="42"/>
      <c r="I129" s="42"/>
    </row>
    <row r="130" spans="1:9" x14ac:dyDescent="0.25">
      <c r="A130" s="42"/>
      <c r="B130" s="42"/>
      <c r="C130" s="42"/>
      <c r="E130" s="42"/>
      <c r="F130" s="42"/>
      <c r="G130" s="42"/>
      <c r="H130" s="42"/>
      <c r="I130" s="42"/>
    </row>
    <row r="131" spans="1:9" x14ac:dyDescent="0.25">
      <c r="A131" s="42"/>
      <c r="B131" s="42"/>
      <c r="C131" s="42"/>
      <c r="E131" s="42"/>
      <c r="F131" s="42"/>
      <c r="G131" s="42"/>
      <c r="H131" s="42"/>
      <c r="I131" s="42"/>
    </row>
    <row r="132" spans="1:9" x14ac:dyDescent="0.25">
      <c r="A132" s="42"/>
      <c r="B132" s="42"/>
      <c r="C132" s="42"/>
      <c r="E132" s="42"/>
      <c r="F132" s="42"/>
      <c r="G132" s="42"/>
      <c r="H132" s="42"/>
      <c r="I132" s="42"/>
    </row>
    <row r="133" spans="1:9" x14ac:dyDescent="0.25">
      <c r="A133" s="42"/>
      <c r="B133" s="42"/>
      <c r="C133" s="42"/>
      <c r="E133" s="42"/>
      <c r="F133" s="42"/>
      <c r="G133" s="42"/>
      <c r="H133" s="42"/>
      <c r="I133" s="42"/>
    </row>
    <row r="134" spans="1:9" x14ac:dyDescent="0.25">
      <c r="A134" s="42"/>
      <c r="B134" s="42"/>
      <c r="C134" s="42"/>
      <c r="E134" s="42"/>
      <c r="F134" s="42"/>
      <c r="G134" s="42"/>
      <c r="H134" s="42"/>
      <c r="I134" s="42"/>
    </row>
    <row r="135" spans="1:9" x14ac:dyDescent="0.25">
      <c r="A135" s="42"/>
      <c r="B135" s="42"/>
      <c r="C135" s="42"/>
      <c r="E135" s="42"/>
      <c r="F135" s="42"/>
      <c r="G135" s="42"/>
      <c r="H135" s="42"/>
      <c r="I135" s="42"/>
    </row>
    <row r="136" spans="1:9" x14ac:dyDescent="0.25">
      <c r="A136" s="42"/>
      <c r="B136" s="42"/>
      <c r="C136" s="42"/>
      <c r="E136" s="42"/>
      <c r="F136" s="42"/>
      <c r="G136" s="42"/>
      <c r="H136" s="42"/>
      <c r="I136" s="42"/>
    </row>
    <row r="137" spans="1:9" x14ac:dyDescent="0.25">
      <c r="A137" s="42"/>
      <c r="B137" s="42"/>
      <c r="C137" s="42"/>
      <c r="E137" s="42"/>
      <c r="F137" s="42"/>
      <c r="G137" s="42"/>
      <c r="H137" s="42"/>
      <c r="I137" s="42"/>
    </row>
    <row r="138" spans="1:9" x14ac:dyDescent="0.25">
      <c r="A138" s="42"/>
      <c r="B138" s="42"/>
      <c r="C138" s="42"/>
      <c r="E138" s="42"/>
      <c r="F138" s="42"/>
      <c r="G138" s="42"/>
      <c r="H138" s="42"/>
      <c r="I138" s="42"/>
    </row>
    <row r="139" spans="1:9" x14ac:dyDescent="0.25">
      <c r="A139" s="42"/>
      <c r="B139" s="42"/>
      <c r="C139" s="42"/>
      <c r="E139" s="42"/>
      <c r="F139" s="42"/>
      <c r="G139" s="42"/>
      <c r="H139" s="42"/>
      <c r="I139" s="42"/>
    </row>
    <row r="140" spans="1:9" x14ac:dyDescent="0.25">
      <c r="A140" s="42"/>
      <c r="B140" s="42"/>
      <c r="C140" s="42"/>
      <c r="E140" s="42"/>
      <c r="F140" s="42"/>
      <c r="G140" s="42"/>
      <c r="H140" s="42"/>
      <c r="I140" s="42"/>
    </row>
    <row r="141" spans="1:9" x14ac:dyDescent="0.25">
      <c r="A141" s="42"/>
      <c r="B141" s="42"/>
      <c r="C141" s="42"/>
      <c r="E141" s="42"/>
      <c r="F141" s="42"/>
      <c r="G141" s="42"/>
      <c r="H141" s="42"/>
      <c r="I141" s="42"/>
    </row>
    <row r="142" spans="1:9" x14ac:dyDescent="0.25">
      <c r="A142" s="42"/>
      <c r="B142" s="42"/>
      <c r="C142" s="42"/>
      <c r="E142" s="42"/>
      <c r="F142" s="42"/>
      <c r="G142" s="42"/>
      <c r="H142" s="42"/>
      <c r="I142" s="42"/>
    </row>
    <row r="143" spans="1:9" x14ac:dyDescent="0.25">
      <c r="A143" s="42"/>
      <c r="B143" s="42"/>
      <c r="C143" s="42"/>
      <c r="E143" s="42"/>
      <c r="F143" s="42"/>
      <c r="G143" s="42"/>
      <c r="H143" s="42"/>
      <c r="I143" s="42"/>
    </row>
    <row r="144" spans="1:9" x14ac:dyDescent="0.25">
      <c r="A144" s="42"/>
      <c r="B144" s="42"/>
      <c r="C144" s="42"/>
      <c r="E144" s="42"/>
      <c r="F144" s="42"/>
      <c r="G144" s="42"/>
      <c r="H144" s="42"/>
      <c r="I144" s="42"/>
    </row>
    <row r="145" spans="1:9" x14ac:dyDescent="0.25">
      <c r="A145" s="42"/>
      <c r="B145" s="42"/>
      <c r="C145" s="42"/>
      <c r="E145" s="42"/>
      <c r="F145" s="42"/>
      <c r="G145" s="42"/>
      <c r="H145" s="42"/>
      <c r="I145" s="42"/>
    </row>
    <row r="146" spans="1:9" x14ac:dyDescent="0.25">
      <c r="A146" s="42"/>
      <c r="B146" s="42"/>
      <c r="C146" s="42"/>
      <c r="E146" s="42"/>
      <c r="F146" s="42"/>
      <c r="G146" s="42"/>
      <c r="H146" s="42"/>
      <c r="I146" s="42"/>
    </row>
    <row r="147" spans="1:9" x14ac:dyDescent="0.25">
      <c r="A147" s="42"/>
      <c r="B147" s="42"/>
      <c r="C147" s="42"/>
      <c r="E147" s="42"/>
      <c r="F147" s="42"/>
      <c r="G147" s="42"/>
      <c r="H147" s="42"/>
      <c r="I147" s="42"/>
    </row>
    <row r="148" spans="1:9" x14ac:dyDescent="0.25">
      <c r="A148" s="42"/>
      <c r="B148" s="42"/>
      <c r="C148" s="42"/>
      <c r="E148" s="42"/>
      <c r="F148" s="42"/>
      <c r="G148" s="42"/>
      <c r="H148" s="42"/>
      <c r="I148" s="42"/>
    </row>
    <row r="149" spans="1:9" x14ac:dyDescent="0.25">
      <c r="A149" s="42"/>
      <c r="B149" s="42"/>
      <c r="C149" s="42"/>
      <c r="E149" s="42"/>
      <c r="F149" s="42"/>
      <c r="G149" s="42"/>
      <c r="H149" s="42"/>
      <c r="I149" s="42"/>
    </row>
    <row r="150" spans="1:9" x14ac:dyDescent="0.25">
      <c r="A150" s="42"/>
      <c r="B150" s="42"/>
      <c r="C150" s="42"/>
      <c r="E150" s="42"/>
      <c r="F150" s="42"/>
      <c r="G150" s="42"/>
      <c r="H150" s="42"/>
      <c r="I150" s="42"/>
    </row>
    <row r="151" spans="1:9" x14ac:dyDescent="0.25">
      <c r="A151" s="42"/>
      <c r="B151" s="42"/>
      <c r="C151" s="42"/>
      <c r="E151" s="42"/>
      <c r="F151" s="42"/>
      <c r="G151" s="42"/>
      <c r="H151" s="42"/>
      <c r="I151" s="42"/>
    </row>
    <row r="152" spans="1:9" x14ac:dyDescent="0.25">
      <c r="A152" s="42"/>
      <c r="B152" s="42"/>
      <c r="C152" s="42"/>
      <c r="E152" s="42"/>
      <c r="F152" s="42"/>
      <c r="G152" s="42"/>
      <c r="H152" s="42"/>
      <c r="I152" s="42"/>
    </row>
    <row r="153" spans="1:9" x14ac:dyDescent="0.25">
      <c r="A153" s="42"/>
      <c r="B153" s="42"/>
      <c r="C153" s="42"/>
      <c r="E153" s="42"/>
      <c r="F153" s="42"/>
      <c r="G153" s="42"/>
      <c r="H153" s="42"/>
      <c r="I153" s="42"/>
    </row>
    <row r="154" spans="1:9" x14ac:dyDescent="0.25">
      <c r="A154" s="42"/>
      <c r="B154" s="42"/>
      <c r="C154" s="42"/>
      <c r="E154" s="42"/>
      <c r="F154" s="42"/>
      <c r="G154" s="42"/>
      <c r="H154" s="42"/>
      <c r="I154" s="42"/>
    </row>
    <row r="155" spans="1:9" x14ac:dyDescent="0.25">
      <c r="A155" s="42"/>
      <c r="B155" s="42"/>
      <c r="C155" s="42"/>
      <c r="E155" s="42"/>
      <c r="F155" s="42"/>
      <c r="G155" s="42"/>
      <c r="H155" s="42"/>
      <c r="I155" s="42"/>
    </row>
    <row r="156" spans="1:9" x14ac:dyDescent="0.25">
      <c r="A156" s="42"/>
      <c r="B156" s="42"/>
      <c r="C156" s="42"/>
      <c r="E156" s="42"/>
      <c r="F156" s="42"/>
      <c r="G156" s="42"/>
      <c r="H156" s="42"/>
      <c r="I156" s="42"/>
    </row>
    <row r="157" spans="1:9" x14ac:dyDescent="0.25">
      <c r="A157" s="42"/>
      <c r="B157" s="42"/>
      <c r="C157" s="42"/>
      <c r="E157" s="42"/>
      <c r="F157" s="42"/>
      <c r="G157" s="42"/>
      <c r="H157" s="42"/>
      <c r="I157" s="42"/>
    </row>
    <row r="158" spans="1:9" x14ac:dyDescent="0.25">
      <c r="A158" s="42"/>
      <c r="B158" s="42"/>
      <c r="C158" s="42"/>
      <c r="E158" s="42"/>
      <c r="F158" s="42"/>
      <c r="G158" s="42"/>
      <c r="H158" s="42"/>
      <c r="I158" s="42"/>
    </row>
    <row r="159" spans="1:9" x14ac:dyDescent="0.25">
      <c r="A159" s="42"/>
      <c r="B159" s="42"/>
      <c r="C159" s="42"/>
      <c r="E159" s="42"/>
      <c r="F159" s="42"/>
      <c r="G159" s="42"/>
      <c r="H159" s="42"/>
      <c r="I159" s="42"/>
    </row>
    <row r="160" spans="1:9" x14ac:dyDescent="0.25">
      <c r="A160" s="42"/>
      <c r="B160" s="42"/>
      <c r="C160" s="42"/>
      <c r="E160" s="42"/>
      <c r="F160" s="42"/>
      <c r="G160" s="42"/>
      <c r="H160" s="42"/>
      <c r="I160" s="42"/>
    </row>
    <row r="161" spans="1:9" x14ac:dyDescent="0.25">
      <c r="A161" s="42"/>
      <c r="B161" s="42"/>
      <c r="C161" s="42"/>
      <c r="E161" s="42"/>
      <c r="F161" s="42"/>
      <c r="G161" s="42"/>
      <c r="H161" s="42"/>
      <c r="I161" s="42"/>
    </row>
    <row r="162" spans="1:9" x14ac:dyDescent="0.25">
      <c r="A162" s="42"/>
      <c r="B162" s="42"/>
      <c r="C162" s="42"/>
      <c r="E162" s="42"/>
      <c r="F162" s="42"/>
      <c r="G162" s="42"/>
      <c r="H162" s="42"/>
      <c r="I162" s="42"/>
    </row>
    <row r="163" spans="1:9" x14ac:dyDescent="0.25">
      <c r="A163" s="42"/>
      <c r="B163" s="42"/>
      <c r="C163" s="42"/>
      <c r="E163" s="42"/>
      <c r="F163" s="42"/>
      <c r="G163" s="42"/>
      <c r="H163" s="42"/>
      <c r="I163" s="42"/>
    </row>
    <row r="164" spans="1:9" x14ac:dyDescent="0.25">
      <c r="A164" s="42"/>
      <c r="B164" s="42"/>
      <c r="C164" s="42"/>
      <c r="E164" s="42"/>
      <c r="F164" s="42"/>
      <c r="G164" s="42"/>
      <c r="H164" s="42"/>
      <c r="I164" s="42"/>
    </row>
    <row r="165" spans="1:9" x14ac:dyDescent="0.25">
      <c r="A165" s="42"/>
      <c r="B165" s="42"/>
      <c r="C165" s="42"/>
      <c r="E165" s="42"/>
      <c r="F165" s="42"/>
      <c r="G165" s="42"/>
      <c r="H165" s="42"/>
      <c r="I165" s="42"/>
    </row>
    <row r="166" spans="1:9" x14ac:dyDescent="0.25">
      <c r="A166" s="42"/>
      <c r="B166" s="42"/>
      <c r="C166" s="42"/>
      <c r="E166" s="42"/>
      <c r="F166" s="42"/>
      <c r="G166" s="42"/>
      <c r="H166" s="42"/>
      <c r="I166" s="42"/>
    </row>
    <row r="167" spans="1:9" x14ac:dyDescent="0.25">
      <c r="A167" s="42"/>
      <c r="B167" s="42"/>
      <c r="C167" s="42"/>
      <c r="E167" s="42"/>
      <c r="F167" s="42"/>
      <c r="G167" s="42"/>
      <c r="H167" s="42"/>
      <c r="I167" s="42"/>
    </row>
    <row r="168" spans="1:9" x14ac:dyDescent="0.25">
      <c r="A168" s="42"/>
      <c r="B168" s="42"/>
      <c r="C168" s="42"/>
      <c r="E168" s="42"/>
      <c r="F168" s="42"/>
      <c r="G168" s="42"/>
      <c r="H168" s="42"/>
      <c r="I168" s="42"/>
    </row>
    <row r="169" spans="1:9" x14ac:dyDescent="0.25">
      <c r="A169" s="42"/>
      <c r="B169" s="42"/>
      <c r="C169" s="42"/>
      <c r="E169" s="42"/>
      <c r="F169" s="42"/>
      <c r="G169" s="42"/>
      <c r="H169" s="42"/>
      <c r="I169" s="42"/>
    </row>
    <row r="170" spans="1:9" x14ac:dyDescent="0.25">
      <c r="A170" s="42"/>
      <c r="B170" s="42"/>
      <c r="C170" s="42"/>
      <c r="E170" s="42"/>
      <c r="F170" s="42"/>
      <c r="G170" s="42"/>
      <c r="H170" s="42"/>
      <c r="I170" s="42"/>
    </row>
    <row r="171" spans="1:9" x14ac:dyDescent="0.25">
      <c r="A171" s="42"/>
      <c r="B171" s="42"/>
      <c r="C171" s="42"/>
      <c r="E171" s="42"/>
      <c r="F171" s="42"/>
      <c r="G171" s="42"/>
      <c r="H171" s="42"/>
      <c r="I171" s="42"/>
    </row>
    <row r="172" spans="1:9" x14ac:dyDescent="0.25">
      <c r="A172" s="42"/>
      <c r="B172" s="42"/>
      <c r="C172" s="42"/>
      <c r="E172" s="42"/>
      <c r="F172" s="42"/>
      <c r="G172" s="42"/>
      <c r="H172" s="42"/>
      <c r="I172" s="42"/>
    </row>
    <row r="173" spans="1:9" x14ac:dyDescent="0.25">
      <c r="A173" s="42"/>
      <c r="B173" s="42"/>
      <c r="C173" s="42"/>
      <c r="E173" s="42"/>
      <c r="F173" s="42"/>
      <c r="G173" s="42"/>
      <c r="H173" s="42"/>
      <c r="I173" s="42"/>
    </row>
    <row r="174" spans="1:9" x14ac:dyDescent="0.25">
      <c r="A174" s="42"/>
      <c r="B174" s="42"/>
      <c r="C174" s="42"/>
      <c r="E174" s="42"/>
      <c r="F174" s="42"/>
      <c r="G174" s="42"/>
      <c r="H174" s="42"/>
      <c r="I174" s="42"/>
    </row>
    <row r="175" spans="1:9" x14ac:dyDescent="0.25">
      <c r="A175" s="42"/>
      <c r="B175" s="42"/>
      <c r="C175" s="42"/>
      <c r="E175" s="42"/>
      <c r="F175" s="42"/>
      <c r="G175" s="42"/>
      <c r="H175" s="42"/>
      <c r="I175" s="42"/>
    </row>
    <row r="176" spans="1:9" x14ac:dyDescent="0.25">
      <c r="A176" s="42"/>
      <c r="B176" s="42"/>
      <c r="C176" s="42"/>
      <c r="E176" s="42"/>
      <c r="F176" s="42"/>
      <c r="G176" s="42"/>
      <c r="H176" s="42"/>
      <c r="I176" s="42"/>
    </row>
    <row r="177" spans="1:9" x14ac:dyDescent="0.25">
      <c r="A177" s="42"/>
      <c r="B177" s="42"/>
      <c r="C177" s="42"/>
      <c r="E177" s="42"/>
      <c r="F177" s="42"/>
      <c r="G177" s="42"/>
      <c r="H177" s="42"/>
      <c r="I177" s="42"/>
    </row>
    <row r="178" spans="1:9" x14ac:dyDescent="0.25">
      <c r="A178" s="42"/>
      <c r="B178" s="42"/>
      <c r="C178" s="42"/>
      <c r="E178" s="42"/>
      <c r="F178" s="42"/>
      <c r="G178" s="42"/>
      <c r="H178" s="42"/>
      <c r="I178" s="42"/>
    </row>
    <row r="179" spans="1:9" x14ac:dyDescent="0.25">
      <c r="A179" s="42"/>
      <c r="B179" s="42"/>
      <c r="C179" s="42"/>
      <c r="E179" s="42"/>
      <c r="F179" s="42"/>
      <c r="G179" s="42"/>
      <c r="H179" s="42"/>
      <c r="I179" s="42"/>
    </row>
    <row r="180" spans="1:9" x14ac:dyDescent="0.25">
      <c r="A180" s="42"/>
      <c r="B180" s="42"/>
      <c r="C180" s="42"/>
      <c r="E180" s="42"/>
      <c r="F180" s="42"/>
      <c r="G180" s="42"/>
      <c r="H180" s="42"/>
      <c r="I180" s="42"/>
    </row>
    <row r="181" spans="1:9" x14ac:dyDescent="0.25">
      <c r="A181" s="42"/>
      <c r="B181" s="42"/>
      <c r="C181" s="42"/>
      <c r="E181" s="42"/>
      <c r="F181" s="42"/>
      <c r="G181" s="42"/>
      <c r="H181" s="42"/>
      <c r="I181" s="42"/>
    </row>
    <row r="182" spans="1:9" x14ac:dyDescent="0.25">
      <c r="A182" s="42"/>
      <c r="B182" s="42"/>
      <c r="C182" s="42"/>
      <c r="E182" s="42"/>
      <c r="F182" s="42"/>
      <c r="G182" s="42"/>
      <c r="H182" s="42"/>
      <c r="I182" s="42"/>
    </row>
    <row r="183" spans="1:9" x14ac:dyDescent="0.25">
      <c r="A183" s="42"/>
      <c r="B183" s="42"/>
      <c r="C183" s="42"/>
      <c r="E183" s="42"/>
      <c r="F183" s="42"/>
      <c r="G183" s="42"/>
      <c r="H183" s="42"/>
      <c r="I183" s="42"/>
    </row>
    <row r="184" spans="1:9" x14ac:dyDescent="0.25">
      <c r="A184" s="42"/>
      <c r="B184" s="42"/>
      <c r="C184" s="42"/>
      <c r="E184" s="42"/>
      <c r="F184" s="42"/>
      <c r="G184" s="42"/>
      <c r="H184" s="42"/>
      <c r="I184" s="42"/>
    </row>
    <row r="185" spans="1:9" x14ac:dyDescent="0.25">
      <c r="A185" s="42"/>
      <c r="B185" s="42"/>
      <c r="C185" s="42"/>
      <c r="E185" s="42"/>
      <c r="F185" s="42"/>
      <c r="G185" s="42"/>
      <c r="H185" s="42"/>
      <c r="I185" s="42"/>
    </row>
    <row r="186" spans="1:9" x14ac:dyDescent="0.25">
      <c r="A186" s="42"/>
      <c r="B186" s="42"/>
      <c r="C186" s="42"/>
      <c r="E186" s="42"/>
      <c r="F186" s="42"/>
      <c r="G186" s="42"/>
      <c r="H186" s="42"/>
      <c r="I186" s="42"/>
    </row>
    <row r="187" spans="1:9" x14ac:dyDescent="0.25">
      <c r="A187" s="42"/>
      <c r="B187" s="42"/>
      <c r="C187" s="42"/>
      <c r="E187" s="42"/>
      <c r="F187" s="42"/>
      <c r="G187" s="42"/>
      <c r="H187" s="42"/>
      <c r="I187" s="42"/>
    </row>
    <row r="188" spans="1:9" x14ac:dyDescent="0.25">
      <c r="A188" s="42"/>
      <c r="B188" s="42"/>
      <c r="C188" s="42"/>
      <c r="E188" s="42"/>
      <c r="F188" s="42"/>
      <c r="G188" s="42"/>
      <c r="H188" s="42"/>
      <c r="I188" s="42"/>
    </row>
    <row r="189" spans="1:9" x14ac:dyDescent="0.25">
      <c r="A189" s="42"/>
      <c r="B189" s="42"/>
      <c r="C189" s="42"/>
      <c r="E189" s="42"/>
      <c r="F189" s="42"/>
      <c r="G189" s="42"/>
      <c r="H189" s="42"/>
      <c r="I189" s="42"/>
    </row>
    <row r="190" spans="1:9" x14ac:dyDescent="0.25">
      <c r="A190" s="42"/>
      <c r="B190" s="42"/>
      <c r="C190" s="42"/>
      <c r="E190" s="42"/>
      <c r="F190" s="42"/>
      <c r="G190" s="42"/>
      <c r="H190" s="42"/>
      <c r="I190" s="42"/>
    </row>
    <row r="191" spans="1:9" x14ac:dyDescent="0.25">
      <c r="A191" s="42"/>
      <c r="B191" s="42"/>
      <c r="C191" s="42"/>
      <c r="E191" s="42"/>
      <c r="F191" s="42"/>
      <c r="G191" s="42"/>
      <c r="H191" s="42"/>
      <c r="I191" s="42"/>
    </row>
    <row r="192" spans="1:9" x14ac:dyDescent="0.25">
      <c r="A192" s="42"/>
      <c r="B192" s="42"/>
      <c r="C192" s="42"/>
      <c r="E192" s="42"/>
      <c r="F192" s="42"/>
      <c r="G192" s="42"/>
      <c r="H192" s="42"/>
      <c r="I192" s="42"/>
    </row>
    <row r="193" spans="1:9" x14ac:dyDescent="0.25">
      <c r="A193" s="42"/>
      <c r="B193" s="42"/>
      <c r="C193" s="42"/>
      <c r="E193" s="42"/>
      <c r="F193" s="42"/>
      <c r="G193" s="42"/>
      <c r="H193" s="42"/>
      <c r="I193" s="42"/>
    </row>
    <row r="194" spans="1:9" x14ac:dyDescent="0.25">
      <c r="A194" s="42"/>
      <c r="B194" s="42"/>
      <c r="C194" s="42"/>
      <c r="E194" s="42"/>
      <c r="F194" s="42"/>
      <c r="G194" s="42"/>
      <c r="H194" s="42"/>
      <c r="I194" s="42"/>
    </row>
    <row r="195" spans="1:9" x14ac:dyDescent="0.25">
      <c r="A195" s="42"/>
      <c r="B195" s="42"/>
      <c r="C195" s="42"/>
      <c r="E195" s="42"/>
      <c r="F195" s="42"/>
      <c r="G195" s="42"/>
      <c r="H195" s="42"/>
      <c r="I195" s="42"/>
    </row>
    <row r="196" spans="1:9" x14ac:dyDescent="0.25">
      <c r="A196" s="42"/>
      <c r="B196" s="42"/>
      <c r="C196" s="42"/>
      <c r="E196" s="42"/>
      <c r="F196" s="42"/>
      <c r="G196" s="42"/>
      <c r="H196" s="42"/>
      <c r="I196" s="42"/>
    </row>
    <row r="197" spans="1:9" x14ac:dyDescent="0.25">
      <c r="A197" s="42"/>
      <c r="B197" s="42"/>
      <c r="C197" s="42"/>
      <c r="E197" s="42"/>
      <c r="F197" s="42"/>
      <c r="G197" s="42"/>
      <c r="H197" s="42"/>
      <c r="I197" s="42"/>
    </row>
    <row r="198" spans="1:9" x14ac:dyDescent="0.25">
      <c r="A198" s="42"/>
      <c r="B198" s="42"/>
      <c r="C198" s="42"/>
      <c r="E198" s="42"/>
      <c r="F198" s="42"/>
      <c r="G198" s="42"/>
      <c r="H198" s="42"/>
      <c r="I198" s="42"/>
    </row>
    <row r="199" spans="1:9" x14ac:dyDescent="0.25">
      <c r="A199" s="42"/>
      <c r="B199" s="42"/>
      <c r="C199" s="42"/>
      <c r="E199" s="42"/>
      <c r="F199" s="42"/>
      <c r="G199" s="42"/>
      <c r="H199" s="42"/>
      <c r="I199" s="42"/>
    </row>
    <row r="200" spans="1:9" x14ac:dyDescent="0.25">
      <c r="A200" s="42"/>
      <c r="B200" s="42"/>
      <c r="C200" s="42"/>
      <c r="E200" s="42"/>
      <c r="F200" s="42"/>
      <c r="G200" s="42"/>
      <c r="H200" s="42"/>
      <c r="I200" s="42"/>
    </row>
  </sheetData>
  <mergeCells count="2">
    <mergeCell ref="L13:N13"/>
    <mergeCell ref="L14:N14"/>
  </mergeCells>
  <pageMargins left="0.7" right="0.7" top="0.75" bottom="0.75" header="0.3" footer="0.3"/>
  <pageSetup paperSize="17" orientation="landscape" horizontalDpi="4294967293" verticalDpi="4294967293" r:id="rId1"/>
  <drawing r:id="rId2"/>
  <legacyDrawing r:id="rId3"/>
  <controls>
    <mc:AlternateContent xmlns:mc="http://schemas.openxmlformats.org/markup-compatibility/2006">
      <mc:Choice Requires="x14">
        <control shapeId="1077" r:id="rId4" name="Text2D">
          <controlPr defaultSize="0" autoLine="0" r:id="rId5">
            <anchor moveWithCells="1">
              <from>
                <xdr:col>5</xdr:col>
                <xdr:colOff>447675</xdr:colOff>
                <xdr:row>10</xdr:row>
                <xdr:rowOff>142875</xdr:rowOff>
              </from>
              <to>
                <xdr:col>5</xdr:col>
                <xdr:colOff>647700</xdr:colOff>
                <xdr:row>11</xdr:row>
                <xdr:rowOff>171450</xdr:rowOff>
              </to>
            </anchor>
          </controlPr>
        </control>
      </mc:Choice>
      <mc:Fallback>
        <control shapeId="1077" r:id="rId4" name="Text2D"/>
      </mc:Fallback>
    </mc:AlternateContent>
    <mc:AlternateContent xmlns:mc="http://schemas.openxmlformats.org/markup-compatibility/2006">
      <mc:Choice Requires="x14">
        <control shapeId="1076" r:id="rId6" name="SpinButton2D">
          <controlPr defaultSize="0" autoLine="0" r:id="rId7">
            <anchor moveWithCells="1">
              <from>
                <xdr:col>5</xdr:col>
                <xdr:colOff>647700</xdr:colOff>
                <xdr:row>10</xdr:row>
                <xdr:rowOff>133350</xdr:rowOff>
              </from>
              <to>
                <xdr:col>5</xdr:col>
                <xdr:colOff>838200</xdr:colOff>
                <xdr:row>11</xdr:row>
                <xdr:rowOff>161925</xdr:rowOff>
              </to>
            </anchor>
          </controlPr>
        </control>
      </mc:Choice>
      <mc:Fallback>
        <control shapeId="1076" r:id="rId6" name="SpinButton2D"/>
      </mc:Fallback>
    </mc:AlternateContent>
    <mc:AlternateContent xmlns:mc="http://schemas.openxmlformats.org/markup-compatibility/2006">
      <mc:Choice Requires="x14">
        <control shapeId="1073" r:id="rId8" name="Text3D">
          <controlPr defaultSize="0" autoLine="0" r:id="rId9">
            <anchor moveWithCells="1">
              <from>
                <xdr:col>1</xdr:col>
                <xdr:colOff>714375</xdr:colOff>
                <xdr:row>10</xdr:row>
                <xdr:rowOff>133350</xdr:rowOff>
              </from>
              <to>
                <xdr:col>1</xdr:col>
                <xdr:colOff>914400</xdr:colOff>
                <xdr:row>11</xdr:row>
                <xdr:rowOff>161925</xdr:rowOff>
              </to>
            </anchor>
          </controlPr>
        </control>
      </mc:Choice>
      <mc:Fallback>
        <control shapeId="1073" r:id="rId8" name="Text3D"/>
      </mc:Fallback>
    </mc:AlternateContent>
    <mc:AlternateContent xmlns:mc="http://schemas.openxmlformats.org/markup-compatibility/2006">
      <mc:Choice Requires="x14">
        <control shapeId="1072" r:id="rId10" name="SpinButton3D">
          <controlPr defaultSize="0" autoLine="0" r:id="rId7">
            <anchor moveWithCells="1">
              <from>
                <xdr:col>1</xdr:col>
                <xdr:colOff>914400</xdr:colOff>
                <xdr:row>10</xdr:row>
                <xdr:rowOff>123825</xdr:rowOff>
              </from>
              <to>
                <xdr:col>1</xdr:col>
                <xdr:colOff>1104900</xdr:colOff>
                <xdr:row>11</xdr:row>
                <xdr:rowOff>152400</xdr:rowOff>
              </to>
            </anchor>
          </controlPr>
        </control>
      </mc:Choice>
      <mc:Fallback>
        <control shapeId="1072" r:id="rId10" name="SpinButton3D"/>
      </mc:Fallback>
    </mc:AlternateContent>
    <mc:AlternateContent xmlns:mc="http://schemas.openxmlformats.org/markup-compatibility/2006">
      <mc:Choice Requires="x14">
        <control shapeId="1032" r:id="rId11" name="Image6">
          <controlPr defaultSize="0" autoFill="0" autoLine="0" r:id="rId12">
            <anchor moveWithCells="1">
              <from>
                <xdr:col>0</xdr:col>
                <xdr:colOff>304800</xdr:colOff>
                <xdr:row>10</xdr:row>
                <xdr:rowOff>123825</xdr:rowOff>
              </from>
              <to>
                <xdr:col>1</xdr:col>
                <xdr:colOff>47625</xdr:colOff>
                <xdr:row>11</xdr:row>
                <xdr:rowOff>152400</xdr:rowOff>
              </to>
            </anchor>
          </controlPr>
        </control>
      </mc:Choice>
      <mc:Fallback>
        <control shapeId="1032" r:id="rId11" name="Image6"/>
      </mc:Fallback>
    </mc:AlternateContent>
    <mc:AlternateContent xmlns:mc="http://schemas.openxmlformats.org/markup-compatibility/2006">
      <mc:Choice Requires="x14">
        <control shapeId="1033" r:id="rId13" name="Image7">
          <controlPr defaultSize="0" autoFill="0" autoLine="0" r:id="rId14">
            <anchor moveWithCells="1">
              <from>
                <xdr:col>0</xdr:col>
                <xdr:colOff>19050</xdr:colOff>
                <xdr:row>10</xdr:row>
                <xdr:rowOff>123825</xdr:rowOff>
              </from>
              <to>
                <xdr:col>0</xdr:col>
                <xdr:colOff>247650</xdr:colOff>
                <xdr:row>11</xdr:row>
                <xdr:rowOff>152400</xdr:rowOff>
              </to>
            </anchor>
          </controlPr>
        </control>
      </mc:Choice>
      <mc:Fallback>
        <control shapeId="1033" r:id="rId13" name="Image7"/>
      </mc:Fallback>
    </mc:AlternateContent>
    <mc:AlternateContent xmlns:mc="http://schemas.openxmlformats.org/markup-compatibility/2006">
      <mc:Choice Requires="x14">
        <control shapeId="1034" r:id="rId15" name="Image8">
          <controlPr defaultSize="0" autoFill="0" autoLine="0" r:id="rId16">
            <anchor moveWithCells="1">
              <from>
                <xdr:col>1</xdr:col>
                <xdr:colOff>152400</xdr:colOff>
                <xdr:row>10</xdr:row>
                <xdr:rowOff>123825</xdr:rowOff>
              </from>
              <to>
                <xdr:col>1</xdr:col>
                <xdr:colOff>381000</xdr:colOff>
                <xdr:row>11</xdr:row>
                <xdr:rowOff>152400</xdr:rowOff>
              </to>
            </anchor>
          </controlPr>
        </control>
      </mc:Choice>
      <mc:Fallback>
        <control shapeId="1034" r:id="rId15" name="Image8"/>
      </mc:Fallback>
    </mc:AlternateContent>
    <mc:AlternateContent xmlns:mc="http://schemas.openxmlformats.org/markup-compatibility/2006">
      <mc:Choice Requires="x14">
        <control shapeId="1035" r:id="rId17" name="Image5">
          <controlPr defaultSize="0" autoFill="0" autoLine="0" r:id="rId18">
            <anchor moveWithCells="1">
              <from>
                <xdr:col>1</xdr:col>
                <xdr:colOff>438150</xdr:colOff>
                <xdr:row>10</xdr:row>
                <xdr:rowOff>123825</xdr:rowOff>
              </from>
              <to>
                <xdr:col>1</xdr:col>
                <xdr:colOff>666750</xdr:colOff>
                <xdr:row>11</xdr:row>
                <xdr:rowOff>152400</xdr:rowOff>
              </to>
            </anchor>
          </controlPr>
        </control>
      </mc:Choice>
      <mc:Fallback>
        <control shapeId="1035" r:id="rId17" name="Image5"/>
      </mc:Fallback>
    </mc:AlternateContent>
    <mc:AlternateContent xmlns:mc="http://schemas.openxmlformats.org/markup-compatibility/2006">
      <mc:Choice Requires="x14">
        <control shapeId="1036" r:id="rId19" name="Image9">
          <controlPr defaultSize="0" autoFill="0" autoLine="0" r:id="rId16">
            <anchor moveWithCells="1">
              <from>
                <xdr:col>4</xdr:col>
                <xdr:colOff>314325</xdr:colOff>
                <xdr:row>10</xdr:row>
                <xdr:rowOff>123825</xdr:rowOff>
              </from>
              <to>
                <xdr:col>5</xdr:col>
                <xdr:colOff>76200</xdr:colOff>
                <xdr:row>11</xdr:row>
                <xdr:rowOff>152400</xdr:rowOff>
              </to>
            </anchor>
          </controlPr>
        </control>
      </mc:Choice>
      <mc:Fallback>
        <control shapeId="1036" r:id="rId19" name="Image9"/>
      </mc:Fallback>
    </mc:AlternateContent>
    <mc:AlternateContent xmlns:mc="http://schemas.openxmlformats.org/markup-compatibility/2006">
      <mc:Choice Requires="x14">
        <control shapeId="1037" r:id="rId20" name="Image10">
          <controlPr defaultSize="0" autoFill="0" autoLine="0" r:id="rId18">
            <anchor moveWithCells="1">
              <from>
                <xdr:col>5</xdr:col>
                <xdr:colOff>161925</xdr:colOff>
                <xdr:row>10</xdr:row>
                <xdr:rowOff>123825</xdr:rowOff>
              </from>
              <to>
                <xdr:col>5</xdr:col>
                <xdr:colOff>390525</xdr:colOff>
                <xdr:row>11</xdr:row>
                <xdr:rowOff>152400</xdr:rowOff>
              </to>
            </anchor>
          </controlPr>
        </control>
      </mc:Choice>
      <mc:Fallback>
        <control shapeId="1037" r:id="rId20" name="Image10"/>
      </mc:Fallback>
    </mc:AlternateContent>
    <mc:AlternateContent xmlns:mc="http://schemas.openxmlformats.org/markup-compatibility/2006">
      <mc:Choice Requires="x14">
        <control shapeId="1038" r:id="rId21" name="Image11">
          <controlPr defaultSize="0" autoFill="0" autoLine="0" r:id="rId12">
            <anchor moveWithCells="1">
              <from>
                <xdr:col>4</xdr:col>
                <xdr:colOff>9525</xdr:colOff>
                <xdr:row>10</xdr:row>
                <xdr:rowOff>123825</xdr:rowOff>
              </from>
              <to>
                <xdr:col>4</xdr:col>
                <xdr:colOff>238125</xdr:colOff>
                <xdr:row>11</xdr:row>
                <xdr:rowOff>152400</xdr:rowOff>
              </to>
            </anchor>
          </controlPr>
        </control>
      </mc:Choice>
      <mc:Fallback>
        <control shapeId="1038" r:id="rId21" name="Image11"/>
      </mc:Fallback>
    </mc:AlternateContent>
    <mc:AlternateContent xmlns:mc="http://schemas.openxmlformats.org/markup-compatibility/2006">
      <mc:Choice Requires="x14">
        <control shapeId="1039" r:id="rId22" name="Label1">
          <controlPr defaultSize="0" autoLine="0" r:id="rId23">
            <anchor moveWithCells="1">
              <from>
                <xdr:col>11</xdr:col>
                <xdr:colOff>47625</xdr:colOff>
                <xdr:row>27</xdr:row>
                <xdr:rowOff>133350</xdr:rowOff>
              </from>
              <to>
                <xdr:col>13</xdr:col>
                <xdr:colOff>400050</xdr:colOff>
                <xdr:row>32</xdr:row>
                <xdr:rowOff>0</xdr:rowOff>
              </to>
            </anchor>
          </controlPr>
        </control>
      </mc:Choice>
      <mc:Fallback>
        <control shapeId="1039" r:id="rId22" name="Label1"/>
      </mc:Fallback>
    </mc:AlternateContent>
    <mc:AlternateContent xmlns:mc="http://schemas.openxmlformats.org/markup-compatibility/2006">
      <mc:Choice Requires="x14">
        <control shapeId="1122" r:id="rId24" name="Label2">
          <controlPr defaultSize="0" autoLine="0" autoPict="0" r:id="rId25">
            <anchor moveWithCells="1">
              <from>
                <xdr:col>2</xdr:col>
                <xdr:colOff>1581150</xdr:colOff>
                <xdr:row>5</xdr:row>
                <xdr:rowOff>19050</xdr:rowOff>
              </from>
              <to>
                <xdr:col>2</xdr:col>
                <xdr:colOff>2114550</xdr:colOff>
                <xdr:row>6</xdr:row>
                <xdr:rowOff>9525</xdr:rowOff>
              </to>
            </anchor>
          </controlPr>
        </control>
      </mc:Choice>
      <mc:Fallback>
        <control shapeId="1122" r:id="rId24" name="Label2"/>
      </mc:Fallback>
    </mc:AlternateContent>
  </controls>
  <tableParts count="3">
    <tablePart r:id="rId26"/>
    <tablePart r:id="rId27"/>
    <tablePart r:id="rId28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H137"/>
  <sheetViews>
    <sheetView workbookViewId="0">
      <selection activeCell="O51" sqref="O51"/>
    </sheetView>
  </sheetViews>
  <sheetFormatPr defaultRowHeight="15" x14ac:dyDescent="0.25"/>
  <cols>
    <col min="3" max="3" width="17.28515625" bestFit="1" customWidth="1"/>
  </cols>
  <sheetData>
    <row r="1" spans="1:1" x14ac:dyDescent="0.25">
      <c r="A1">
        <v>4543545</v>
      </c>
    </row>
    <row r="33" spans="6:8" x14ac:dyDescent="0.25">
      <c r="F33">
        <v>1</v>
      </c>
      <c r="G33" t="s">
        <v>73</v>
      </c>
      <c r="H33" t="s">
        <v>22</v>
      </c>
    </row>
    <row r="34" spans="6:8" x14ac:dyDescent="0.25">
      <c r="F34">
        <v>5</v>
      </c>
      <c r="G34" t="s">
        <v>56</v>
      </c>
      <c r="H34" t="s">
        <v>57</v>
      </c>
    </row>
    <row r="35" spans="6:8" x14ac:dyDescent="0.25">
      <c r="F35">
        <v>6</v>
      </c>
      <c r="G35" t="s">
        <v>75</v>
      </c>
      <c r="H35" t="s">
        <v>76</v>
      </c>
    </row>
    <row r="36" spans="6:8" x14ac:dyDescent="0.25">
      <c r="F36">
        <v>14</v>
      </c>
      <c r="G36" t="s">
        <v>49</v>
      </c>
      <c r="H36" t="s">
        <v>50</v>
      </c>
    </row>
    <row r="133" spans="2:4" x14ac:dyDescent="0.25">
      <c r="B133">
        <v>1</v>
      </c>
      <c r="C133" t="s">
        <v>233</v>
      </c>
      <c r="D133" t="s">
        <v>235</v>
      </c>
    </row>
    <row r="134" spans="2:4" x14ac:dyDescent="0.25">
      <c r="B134">
        <v>1</v>
      </c>
      <c r="C134" t="s">
        <v>237</v>
      </c>
      <c r="D134" t="s">
        <v>235</v>
      </c>
    </row>
    <row r="135" spans="2:4" x14ac:dyDescent="0.25">
      <c r="B135">
        <v>1</v>
      </c>
      <c r="C135" t="s">
        <v>238</v>
      </c>
      <c r="D135" t="s">
        <v>239</v>
      </c>
    </row>
    <row r="136" spans="2:4" x14ac:dyDescent="0.25">
      <c r="B136">
        <v>2</v>
      </c>
      <c r="C136" t="s">
        <v>240</v>
      </c>
      <c r="D136" t="s">
        <v>178</v>
      </c>
    </row>
    <row r="137" spans="2:4" x14ac:dyDescent="0.25">
      <c r="B137">
        <v>2</v>
      </c>
      <c r="C137" t="s">
        <v>241</v>
      </c>
      <c r="D137" t="s">
        <v>178</v>
      </c>
    </row>
  </sheetData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4097" r:id="rId3" name="Image1">
          <controlPr defaultSize="0" autoLine="0" r:id="rId4">
            <anchor moveWithCells="1">
              <from>
                <xdr:col>6</xdr:col>
                <xdr:colOff>361950</xdr:colOff>
                <xdr:row>12</xdr:row>
                <xdr:rowOff>0</xdr:rowOff>
              </from>
              <to>
                <xdr:col>7</xdr:col>
                <xdr:colOff>142875</xdr:colOff>
                <xdr:row>13</xdr:row>
                <xdr:rowOff>152400</xdr:rowOff>
              </to>
            </anchor>
          </controlPr>
        </control>
      </mc:Choice>
      <mc:Fallback>
        <control shapeId="4097" r:id="rId3" name="Image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I938"/>
  <sheetViews>
    <sheetView topLeftCell="A925" workbookViewId="0">
      <selection activeCell="O51" sqref="O51"/>
    </sheetView>
  </sheetViews>
  <sheetFormatPr defaultRowHeight="15" x14ac:dyDescent="0.25"/>
  <sheetData>
    <row r="1" spans="1:9" x14ac:dyDescent="0.25">
      <c r="A1" s="8">
        <v>4</v>
      </c>
      <c r="B1" s="8" t="s">
        <v>263</v>
      </c>
      <c r="C1" s="8" t="s">
        <v>264</v>
      </c>
      <c r="D1" s="8" t="s">
        <v>265</v>
      </c>
      <c r="E1" s="8" t="s">
        <v>266</v>
      </c>
      <c r="F1" s="8" t="s">
        <v>267</v>
      </c>
      <c r="G1" s="8" t="s">
        <v>268</v>
      </c>
      <c r="H1" s="8" t="s">
        <v>269</v>
      </c>
      <c r="I1" s="9" t="s">
        <v>270</v>
      </c>
    </row>
    <row r="2" spans="1:9" x14ac:dyDescent="0.25">
      <c r="A2" s="10">
        <v>1</v>
      </c>
      <c r="B2" s="10" t="s">
        <v>271</v>
      </c>
      <c r="C2" s="10" t="s">
        <v>272</v>
      </c>
      <c r="D2" s="10" t="s">
        <v>273</v>
      </c>
      <c r="E2" s="10" t="s">
        <v>273</v>
      </c>
      <c r="H2" s="10" t="s">
        <v>274</v>
      </c>
    </row>
    <row r="3" spans="1:9" x14ac:dyDescent="0.25">
      <c r="A3" s="9">
        <v>2</v>
      </c>
      <c r="B3" s="9" t="s">
        <v>275</v>
      </c>
      <c r="C3" s="9" t="s">
        <v>29</v>
      </c>
      <c r="D3" s="9" t="s">
        <v>276</v>
      </c>
      <c r="E3" s="9" t="s">
        <v>276</v>
      </c>
      <c r="H3" s="9" t="s">
        <v>218</v>
      </c>
      <c r="I3" s="9">
        <v>1</v>
      </c>
    </row>
    <row r="4" spans="1:9" x14ac:dyDescent="0.25">
      <c r="A4" s="10">
        <v>3</v>
      </c>
      <c r="B4" s="10" t="s">
        <v>277</v>
      </c>
      <c r="C4" s="10" t="s">
        <v>78</v>
      </c>
      <c r="D4" s="10"/>
      <c r="E4" s="10" t="s">
        <v>278</v>
      </c>
      <c r="F4" s="10" t="s">
        <v>279</v>
      </c>
      <c r="G4" s="10">
        <v>1.21332</v>
      </c>
      <c r="H4" s="10" t="s">
        <v>218</v>
      </c>
      <c r="I4" s="10">
        <v>1</v>
      </c>
    </row>
    <row r="5" spans="1:9" x14ac:dyDescent="0.25">
      <c r="A5" s="10">
        <v>3</v>
      </c>
      <c r="B5" s="10" t="s">
        <v>280</v>
      </c>
      <c r="C5" s="10" t="s">
        <v>78</v>
      </c>
      <c r="D5" s="10"/>
      <c r="E5" s="10" t="s">
        <v>278</v>
      </c>
      <c r="F5" s="10" t="s">
        <v>279</v>
      </c>
      <c r="G5" s="10">
        <v>0.108525</v>
      </c>
      <c r="H5" s="10" t="s">
        <v>218</v>
      </c>
      <c r="I5" s="10">
        <v>1</v>
      </c>
    </row>
    <row r="6" spans="1:9" x14ac:dyDescent="0.25">
      <c r="A6" s="10">
        <v>3</v>
      </c>
      <c r="B6" s="10" t="s">
        <v>281</v>
      </c>
      <c r="C6" s="10" t="s">
        <v>78</v>
      </c>
      <c r="D6" s="10"/>
      <c r="E6" s="10" t="s">
        <v>278</v>
      </c>
      <c r="F6" s="10" t="s">
        <v>279</v>
      </c>
      <c r="G6" s="10">
        <v>3.3537299999999999E-2</v>
      </c>
      <c r="H6" s="10" t="s">
        <v>218</v>
      </c>
      <c r="I6" s="10">
        <v>1</v>
      </c>
    </row>
    <row r="7" spans="1:9" x14ac:dyDescent="0.25">
      <c r="A7" s="10">
        <v>3</v>
      </c>
      <c r="B7" s="10" t="s">
        <v>282</v>
      </c>
      <c r="C7" s="10" t="s">
        <v>78</v>
      </c>
      <c r="D7" s="10"/>
      <c r="E7" s="10" t="s">
        <v>278</v>
      </c>
      <c r="F7" s="10" t="s">
        <v>279</v>
      </c>
      <c r="G7" s="10">
        <v>5.4883500000000002E-2</v>
      </c>
      <c r="H7" s="10" t="s">
        <v>218</v>
      </c>
      <c r="I7" s="10">
        <v>1</v>
      </c>
    </row>
    <row r="8" spans="1:9" x14ac:dyDescent="0.25">
      <c r="A8" s="10">
        <v>3</v>
      </c>
      <c r="B8" s="10" t="s">
        <v>283</v>
      </c>
      <c r="C8" s="10" t="s">
        <v>78</v>
      </c>
      <c r="D8" s="10"/>
      <c r="E8" s="10" t="s">
        <v>278</v>
      </c>
      <c r="F8" s="10" t="s">
        <v>279</v>
      </c>
      <c r="G8" s="10">
        <v>1.11216</v>
      </c>
      <c r="H8" s="10" t="s">
        <v>218</v>
      </c>
      <c r="I8" s="10">
        <v>1</v>
      </c>
    </row>
    <row r="9" spans="1:9" x14ac:dyDescent="0.25">
      <c r="A9" s="9">
        <v>2</v>
      </c>
      <c r="B9" s="9" t="s">
        <v>284</v>
      </c>
      <c r="C9" s="9" t="s">
        <v>131</v>
      </c>
      <c r="D9" s="9" t="s">
        <v>285</v>
      </c>
      <c r="E9" s="9" t="s">
        <v>285</v>
      </c>
      <c r="F9" s="9"/>
      <c r="G9" s="9">
        <v>7.5653600000000001</v>
      </c>
      <c r="H9" s="9" t="s">
        <v>223</v>
      </c>
      <c r="I9" s="9">
        <v>1</v>
      </c>
    </row>
    <row r="10" spans="1:9" x14ac:dyDescent="0.25">
      <c r="A10" s="9">
        <v>2</v>
      </c>
      <c r="B10" s="9" t="s">
        <v>286</v>
      </c>
      <c r="C10" s="9" t="s">
        <v>287</v>
      </c>
      <c r="D10" s="9" t="s">
        <v>288</v>
      </c>
      <c r="E10" s="9" t="s">
        <v>288</v>
      </c>
      <c r="H10" s="9" t="s">
        <v>289</v>
      </c>
      <c r="I10" s="9">
        <v>1</v>
      </c>
    </row>
    <row r="11" spans="1:9" x14ac:dyDescent="0.25">
      <c r="A11" s="10">
        <v>3</v>
      </c>
      <c r="B11" s="10" t="s">
        <v>290</v>
      </c>
      <c r="C11" s="10" t="s">
        <v>287</v>
      </c>
      <c r="D11" s="10" t="s">
        <v>291</v>
      </c>
      <c r="E11" s="10" t="s">
        <v>291</v>
      </c>
      <c r="F11" s="10" t="s">
        <v>292</v>
      </c>
      <c r="G11" s="10">
        <v>0.27051500000000001</v>
      </c>
      <c r="H11" s="10" t="s">
        <v>274</v>
      </c>
      <c r="I11" s="10">
        <v>1</v>
      </c>
    </row>
    <row r="12" spans="1:9" x14ac:dyDescent="0.25">
      <c r="A12" s="10">
        <v>3</v>
      </c>
      <c r="B12" s="10" t="s">
        <v>293</v>
      </c>
      <c r="C12" s="10" t="s">
        <v>287</v>
      </c>
      <c r="D12" s="10" t="s">
        <v>294</v>
      </c>
      <c r="E12" s="10" t="s">
        <v>294</v>
      </c>
      <c r="F12" s="10" t="s">
        <v>294</v>
      </c>
      <c r="G12" s="10">
        <v>2.0772499999999998</v>
      </c>
      <c r="H12" s="10" t="s">
        <v>289</v>
      </c>
      <c r="I12" s="10">
        <v>1</v>
      </c>
    </row>
    <row r="13" spans="1:9" x14ac:dyDescent="0.25">
      <c r="A13" s="10">
        <v>3</v>
      </c>
      <c r="B13" s="10" t="s">
        <v>295</v>
      </c>
      <c r="C13" s="10" t="s">
        <v>287</v>
      </c>
      <c r="D13" s="10" t="s">
        <v>296</v>
      </c>
      <c r="E13" s="10" t="s">
        <v>296</v>
      </c>
      <c r="F13" s="10" t="s">
        <v>297</v>
      </c>
      <c r="G13" s="10">
        <v>1.6696800000000001</v>
      </c>
      <c r="H13" s="10" t="s">
        <v>274</v>
      </c>
      <c r="I13" s="10">
        <v>1</v>
      </c>
    </row>
    <row r="14" spans="1:9" x14ac:dyDescent="0.25">
      <c r="A14" s="9">
        <v>2</v>
      </c>
      <c r="B14" s="9" t="s">
        <v>298</v>
      </c>
      <c r="C14" s="9" t="s">
        <v>299</v>
      </c>
      <c r="D14" s="9" t="s">
        <v>300</v>
      </c>
      <c r="E14" s="9" t="s">
        <v>300</v>
      </c>
      <c r="H14" s="9" t="s">
        <v>218</v>
      </c>
      <c r="I14" s="9">
        <v>1</v>
      </c>
    </row>
    <row r="15" spans="1:9" x14ac:dyDescent="0.25">
      <c r="A15" s="10">
        <v>3</v>
      </c>
      <c r="B15" s="10" t="s">
        <v>301</v>
      </c>
      <c r="C15" s="10" t="s">
        <v>78</v>
      </c>
      <c r="D15" s="10" t="s">
        <v>302</v>
      </c>
      <c r="E15" s="10" t="s">
        <v>302</v>
      </c>
      <c r="H15" s="10"/>
      <c r="I15" s="10">
        <v>1</v>
      </c>
    </row>
    <row r="16" spans="1:9" x14ac:dyDescent="0.25">
      <c r="A16" s="9">
        <v>4</v>
      </c>
      <c r="B16" s="9" t="s">
        <v>303</v>
      </c>
      <c r="C16" s="9" t="s">
        <v>78</v>
      </c>
      <c r="D16" s="9" t="s">
        <v>304</v>
      </c>
      <c r="E16" s="9" t="s">
        <v>305</v>
      </c>
      <c r="F16" s="9" t="s">
        <v>101</v>
      </c>
      <c r="G16" s="9">
        <v>0.526563</v>
      </c>
      <c r="H16" s="9"/>
      <c r="I16" s="9">
        <v>2</v>
      </c>
    </row>
    <row r="17" spans="1:9" ht="75" x14ac:dyDescent="0.25">
      <c r="A17" s="9">
        <v>4</v>
      </c>
      <c r="B17" s="9">
        <v>20712195</v>
      </c>
      <c r="C17" s="9" t="s">
        <v>25</v>
      </c>
      <c r="D17" s="11" t="s">
        <v>306</v>
      </c>
      <c r="E17" s="9" t="s">
        <v>307</v>
      </c>
      <c r="F17" s="9"/>
      <c r="G17" s="9">
        <v>0</v>
      </c>
      <c r="H17" s="9"/>
      <c r="I17" s="9">
        <v>2</v>
      </c>
    </row>
    <row r="18" spans="1:9" x14ac:dyDescent="0.25">
      <c r="A18" s="9">
        <v>4</v>
      </c>
      <c r="B18" s="9" t="s">
        <v>308</v>
      </c>
      <c r="C18" s="9" t="s">
        <v>78</v>
      </c>
      <c r="D18" s="9" t="s">
        <v>309</v>
      </c>
      <c r="E18" s="9" t="s">
        <v>309</v>
      </c>
      <c r="F18" s="9" t="s">
        <v>292</v>
      </c>
      <c r="G18" s="9">
        <v>5.7090500000000002E-4</v>
      </c>
      <c r="H18" s="9"/>
      <c r="I18" s="9">
        <v>2</v>
      </c>
    </row>
    <row r="19" spans="1:9" ht="105" x14ac:dyDescent="0.25">
      <c r="A19" s="9">
        <v>4</v>
      </c>
      <c r="B19" s="9" t="s">
        <v>310</v>
      </c>
      <c r="C19" s="9" t="s">
        <v>25</v>
      </c>
      <c r="D19" s="11" t="s">
        <v>311</v>
      </c>
      <c r="E19" s="9" t="s">
        <v>312</v>
      </c>
      <c r="F19" s="9" t="s">
        <v>176</v>
      </c>
      <c r="G19" s="9">
        <v>8.2232099999999999E-4</v>
      </c>
      <c r="H19" s="9"/>
      <c r="I19" s="9">
        <v>4</v>
      </c>
    </row>
    <row r="20" spans="1:9" x14ac:dyDescent="0.25">
      <c r="A20" s="10">
        <v>3</v>
      </c>
      <c r="B20" s="10" t="s">
        <v>12</v>
      </c>
      <c r="C20" s="10" t="s">
        <v>13</v>
      </c>
      <c r="D20" s="10" t="s">
        <v>14</v>
      </c>
      <c r="E20" s="10" t="s">
        <v>14</v>
      </c>
      <c r="H20" s="10" t="s">
        <v>15</v>
      </c>
      <c r="I20" s="10">
        <v>1</v>
      </c>
    </row>
    <row r="21" spans="1:9" x14ac:dyDescent="0.25">
      <c r="A21" s="9">
        <v>4</v>
      </c>
      <c r="B21" s="9" t="s">
        <v>16</v>
      </c>
      <c r="C21" s="9" t="s">
        <v>17</v>
      </c>
      <c r="D21" s="9" t="s">
        <v>18</v>
      </c>
      <c r="E21" s="9" t="s">
        <v>18</v>
      </c>
      <c r="H21" s="9" t="s">
        <v>19</v>
      </c>
      <c r="I21" s="9">
        <v>1</v>
      </c>
    </row>
    <row r="22" spans="1:9" x14ac:dyDescent="0.25">
      <c r="A22" s="10">
        <v>5</v>
      </c>
      <c r="B22" s="10" t="s">
        <v>20</v>
      </c>
      <c r="C22" s="10" t="s">
        <v>17</v>
      </c>
      <c r="D22" s="10" t="s">
        <v>21</v>
      </c>
      <c r="E22" s="10" t="s">
        <v>22</v>
      </c>
      <c r="F22" s="10" t="s">
        <v>23</v>
      </c>
      <c r="G22" s="10">
        <v>0.138678</v>
      </c>
      <c r="H22" s="10" t="s">
        <v>19</v>
      </c>
      <c r="I22" s="10">
        <v>1</v>
      </c>
    </row>
    <row r="23" spans="1:9" x14ac:dyDescent="0.25">
      <c r="A23" s="10">
        <v>5</v>
      </c>
      <c r="B23" s="10" t="s">
        <v>24</v>
      </c>
      <c r="C23" s="10" t="s">
        <v>25</v>
      </c>
      <c r="D23" s="10"/>
      <c r="E23" s="10" t="s">
        <v>26</v>
      </c>
      <c r="F23" s="10" t="s">
        <v>27</v>
      </c>
      <c r="G23" s="10"/>
      <c r="H23" s="10"/>
      <c r="I23" s="10">
        <v>2</v>
      </c>
    </row>
    <row r="24" spans="1:9" x14ac:dyDescent="0.25">
      <c r="A24" s="9">
        <v>4</v>
      </c>
      <c r="B24" s="9" t="s">
        <v>28</v>
      </c>
      <c r="C24" s="9" t="s">
        <v>29</v>
      </c>
      <c r="D24" s="9" t="s">
        <v>30</v>
      </c>
      <c r="E24" s="9" t="s">
        <v>31</v>
      </c>
      <c r="H24" s="9" t="s">
        <v>19</v>
      </c>
      <c r="I24" s="9">
        <v>1</v>
      </c>
    </row>
    <row r="25" spans="1:9" x14ac:dyDescent="0.25">
      <c r="A25" s="10">
        <v>5</v>
      </c>
      <c r="B25" s="10" t="s">
        <v>32</v>
      </c>
      <c r="C25" s="10" t="s">
        <v>29</v>
      </c>
      <c r="D25" s="10" t="s">
        <v>33</v>
      </c>
      <c r="E25" s="10" t="s">
        <v>22</v>
      </c>
      <c r="F25" s="10" t="s">
        <v>23</v>
      </c>
      <c r="G25" s="10">
        <v>0.114463</v>
      </c>
      <c r="H25" s="10" t="s">
        <v>19</v>
      </c>
      <c r="I25" s="10">
        <v>1</v>
      </c>
    </row>
    <row r="26" spans="1:9" x14ac:dyDescent="0.25">
      <c r="A26" s="10">
        <v>5</v>
      </c>
      <c r="B26" s="10" t="s">
        <v>34</v>
      </c>
      <c r="C26" s="10" t="s">
        <v>35</v>
      </c>
      <c r="D26" s="10"/>
      <c r="E26" s="10" t="s">
        <v>36</v>
      </c>
      <c r="F26" s="10" t="s">
        <v>27</v>
      </c>
      <c r="G26" s="10"/>
      <c r="H26" s="10"/>
      <c r="I26" s="10">
        <v>2</v>
      </c>
    </row>
    <row r="27" spans="1:9" x14ac:dyDescent="0.25">
      <c r="A27" s="10">
        <v>5</v>
      </c>
      <c r="B27" s="10" t="s">
        <v>37</v>
      </c>
      <c r="C27" s="10" t="s">
        <v>25</v>
      </c>
      <c r="D27" s="10" t="s">
        <v>38</v>
      </c>
      <c r="E27" s="10" t="s">
        <v>38</v>
      </c>
      <c r="F27" s="10" t="s">
        <v>27</v>
      </c>
      <c r="G27" s="10">
        <v>1.3392499999999999E-3</v>
      </c>
      <c r="H27" s="10"/>
      <c r="I27" s="10">
        <v>6</v>
      </c>
    </row>
    <row r="28" spans="1:9" x14ac:dyDescent="0.25">
      <c r="A28" s="9">
        <v>4</v>
      </c>
      <c r="B28" s="9" t="s">
        <v>39</v>
      </c>
      <c r="C28" s="9" t="s">
        <v>40</v>
      </c>
      <c r="D28" s="9" t="s">
        <v>41</v>
      </c>
      <c r="E28" s="9" t="s">
        <v>42</v>
      </c>
      <c r="H28" s="9" t="s">
        <v>19</v>
      </c>
      <c r="I28" s="9">
        <v>1</v>
      </c>
    </row>
    <row r="29" spans="1:9" x14ac:dyDescent="0.25">
      <c r="A29" s="10">
        <v>5</v>
      </c>
      <c r="B29" s="10" t="s">
        <v>43</v>
      </c>
      <c r="C29" s="10" t="s">
        <v>40</v>
      </c>
      <c r="D29" s="10" t="s">
        <v>44</v>
      </c>
      <c r="E29" s="10" t="s">
        <v>22</v>
      </c>
      <c r="F29" s="10" t="s">
        <v>45</v>
      </c>
      <c r="G29" s="10">
        <v>0.22237299999999999</v>
      </c>
      <c r="H29" s="10" t="s">
        <v>19</v>
      </c>
      <c r="I29" s="10">
        <v>1</v>
      </c>
    </row>
    <row r="30" spans="1:9" x14ac:dyDescent="0.25">
      <c r="A30" s="10">
        <v>5</v>
      </c>
      <c r="B30" s="10" t="s">
        <v>46</v>
      </c>
      <c r="C30" s="10" t="s">
        <v>25</v>
      </c>
      <c r="D30" s="10"/>
      <c r="E30" s="10" t="s">
        <v>47</v>
      </c>
      <c r="F30" s="10" t="s">
        <v>27</v>
      </c>
      <c r="G30" s="10"/>
      <c r="H30" s="10"/>
      <c r="I30" s="10">
        <v>4</v>
      </c>
    </row>
    <row r="31" spans="1:9" x14ac:dyDescent="0.25">
      <c r="A31" s="10">
        <v>5</v>
      </c>
      <c r="B31" s="10" t="s">
        <v>48</v>
      </c>
      <c r="C31" s="10" t="s">
        <v>25</v>
      </c>
      <c r="D31" s="10"/>
      <c r="E31" s="10" t="s">
        <v>36</v>
      </c>
      <c r="F31" s="10" t="s">
        <v>27</v>
      </c>
      <c r="G31" s="10">
        <v>6.0409799999999996E-3</v>
      </c>
      <c r="H31" s="10"/>
      <c r="I31" s="10">
        <v>7</v>
      </c>
    </row>
    <row r="32" spans="1:9" x14ac:dyDescent="0.25">
      <c r="A32" s="10">
        <v>5</v>
      </c>
      <c r="B32" s="10" t="s">
        <v>49</v>
      </c>
      <c r="C32" s="10" t="s">
        <v>25</v>
      </c>
      <c r="D32" s="10" t="s">
        <v>50</v>
      </c>
      <c r="E32" s="10" t="s">
        <v>50</v>
      </c>
      <c r="F32" s="10" t="s">
        <v>27</v>
      </c>
      <c r="G32" s="10"/>
      <c r="H32" s="10"/>
      <c r="I32" s="10">
        <v>8</v>
      </c>
    </row>
    <row r="33" spans="1:9" x14ac:dyDescent="0.25">
      <c r="A33" s="10">
        <v>5</v>
      </c>
      <c r="B33" s="10" t="s">
        <v>51</v>
      </c>
      <c r="C33" s="10" t="s">
        <v>25</v>
      </c>
      <c r="D33" s="10" t="s">
        <v>52</v>
      </c>
      <c r="E33" s="10" t="s">
        <v>52</v>
      </c>
      <c r="F33" s="10" t="s">
        <v>27</v>
      </c>
      <c r="G33" s="10"/>
      <c r="H33" s="10"/>
      <c r="I33" s="10">
        <v>22</v>
      </c>
    </row>
    <row r="34" spans="1:9" x14ac:dyDescent="0.25">
      <c r="A34" s="9">
        <v>4</v>
      </c>
      <c r="B34" s="9" t="s">
        <v>53</v>
      </c>
      <c r="C34" s="9" t="s">
        <v>54</v>
      </c>
      <c r="D34" s="9" t="s">
        <v>55</v>
      </c>
      <c r="E34" s="9" t="s">
        <v>55</v>
      </c>
      <c r="H34" s="9" t="s">
        <v>19</v>
      </c>
      <c r="I34" s="9">
        <v>1</v>
      </c>
    </row>
    <row r="35" spans="1:9" x14ac:dyDescent="0.25">
      <c r="A35" s="10">
        <v>5</v>
      </c>
      <c r="B35" s="10" t="s">
        <v>56</v>
      </c>
      <c r="C35" s="10" t="s">
        <v>25</v>
      </c>
      <c r="D35" s="10" t="s">
        <v>57</v>
      </c>
      <c r="E35" s="10" t="s">
        <v>57</v>
      </c>
      <c r="F35" s="10" t="s">
        <v>27</v>
      </c>
      <c r="G35" s="10"/>
      <c r="H35" s="10"/>
      <c r="I35" s="10">
        <v>1</v>
      </c>
    </row>
    <row r="36" spans="1:9" x14ac:dyDescent="0.25">
      <c r="A36" s="10">
        <v>5</v>
      </c>
      <c r="B36" s="10" t="s">
        <v>58</v>
      </c>
      <c r="C36" s="10" t="s">
        <v>54</v>
      </c>
      <c r="D36" s="10" t="s">
        <v>59</v>
      </c>
      <c r="E36" s="10" t="s">
        <v>22</v>
      </c>
      <c r="F36" s="10" t="s">
        <v>60</v>
      </c>
      <c r="G36" s="10">
        <v>0.11829099999999999</v>
      </c>
      <c r="H36" s="10" t="s">
        <v>19</v>
      </c>
      <c r="I36" s="10">
        <v>1</v>
      </c>
    </row>
    <row r="37" spans="1:9" x14ac:dyDescent="0.25">
      <c r="A37" s="10">
        <v>5</v>
      </c>
      <c r="B37" s="10" t="s">
        <v>61</v>
      </c>
      <c r="C37" s="10" t="s">
        <v>25</v>
      </c>
      <c r="D37" s="10"/>
      <c r="E37" s="10" t="s">
        <v>62</v>
      </c>
      <c r="F37" s="10" t="s">
        <v>27</v>
      </c>
      <c r="G37" s="10"/>
      <c r="H37" s="10"/>
      <c r="I37" s="10">
        <v>2</v>
      </c>
    </row>
    <row r="38" spans="1:9" x14ac:dyDescent="0.25">
      <c r="A38" s="10">
        <v>5</v>
      </c>
      <c r="B38" s="10" t="s">
        <v>49</v>
      </c>
      <c r="C38" s="10" t="s">
        <v>25</v>
      </c>
      <c r="D38" s="10" t="s">
        <v>50</v>
      </c>
      <c r="E38" s="10" t="s">
        <v>50</v>
      </c>
      <c r="F38" s="10" t="s">
        <v>27</v>
      </c>
      <c r="G38" s="10"/>
      <c r="H38" s="10"/>
      <c r="I38" s="10">
        <v>3</v>
      </c>
    </row>
    <row r="39" spans="1:9" x14ac:dyDescent="0.25">
      <c r="A39" s="9">
        <v>4</v>
      </c>
      <c r="B39" s="9" t="s">
        <v>63</v>
      </c>
      <c r="C39" s="9" t="s">
        <v>40</v>
      </c>
      <c r="D39" s="9" t="s">
        <v>64</v>
      </c>
      <c r="E39" s="9" t="s">
        <v>42</v>
      </c>
      <c r="H39" s="9" t="s">
        <v>19</v>
      </c>
      <c r="I39" s="9">
        <v>1</v>
      </c>
    </row>
    <row r="40" spans="1:9" ht="90" x14ac:dyDescent="0.25">
      <c r="A40" s="10">
        <v>5</v>
      </c>
      <c r="B40" s="10" t="s">
        <v>65</v>
      </c>
      <c r="C40" s="10" t="s">
        <v>40</v>
      </c>
      <c r="D40" s="12" t="s">
        <v>66</v>
      </c>
      <c r="E40" s="10" t="s">
        <v>22</v>
      </c>
      <c r="F40" s="10" t="s">
        <v>45</v>
      </c>
      <c r="G40" s="10">
        <v>0.11043500000000001</v>
      </c>
      <c r="H40" s="10" t="s">
        <v>19</v>
      </c>
      <c r="I40" s="10">
        <v>1</v>
      </c>
    </row>
    <row r="41" spans="1:9" x14ac:dyDescent="0.25">
      <c r="A41" s="10">
        <v>5</v>
      </c>
      <c r="B41" s="10" t="s">
        <v>56</v>
      </c>
      <c r="C41" s="10" t="s">
        <v>25</v>
      </c>
      <c r="D41" s="10" t="s">
        <v>57</v>
      </c>
      <c r="E41" s="10" t="s">
        <v>57</v>
      </c>
      <c r="F41" s="10" t="s">
        <v>27</v>
      </c>
      <c r="G41" s="10"/>
      <c r="H41" s="10"/>
      <c r="I41" s="10">
        <v>11</v>
      </c>
    </row>
    <row r="42" spans="1:9" x14ac:dyDescent="0.25">
      <c r="A42" s="10">
        <v>5</v>
      </c>
      <c r="B42" s="10" t="s">
        <v>67</v>
      </c>
      <c r="C42" s="10" t="s">
        <v>25</v>
      </c>
      <c r="D42" s="10" t="s">
        <v>68</v>
      </c>
      <c r="E42" s="10" t="s">
        <v>68</v>
      </c>
      <c r="F42" s="10" t="s">
        <v>27</v>
      </c>
      <c r="G42" s="10"/>
      <c r="H42" s="10"/>
      <c r="I42" s="10">
        <v>15</v>
      </c>
    </row>
    <row r="43" spans="1:9" x14ac:dyDescent="0.25">
      <c r="A43" s="10">
        <v>5</v>
      </c>
      <c r="B43" s="10" t="s">
        <v>49</v>
      </c>
      <c r="C43" s="10" t="s">
        <v>25</v>
      </c>
      <c r="D43" s="10" t="s">
        <v>50</v>
      </c>
      <c r="E43" s="10" t="s">
        <v>50</v>
      </c>
      <c r="F43" s="10" t="s">
        <v>27</v>
      </c>
      <c r="G43" s="10"/>
      <c r="H43" s="10"/>
      <c r="I43" s="10">
        <v>24</v>
      </c>
    </row>
    <row r="44" spans="1:9" x14ac:dyDescent="0.25">
      <c r="A44" s="9">
        <v>4</v>
      </c>
      <c r="B44" s="9" t="s">
        <v>69</v>
      </c>
      <c r="C44" s="9" t="s">
        <v>70</v>
      </c>
      <c r="D44" s="9" t="s">
        <v>71</v>
      </c>
      <c r="E44" s="9" t="s">
        <v>72</v>
      </c>
      <c r="H44" s="9" t="s">
        <v>19</v>
      </c>
      <c r="I44" s="9">
        <v>1</v>
      </c>
    </row>
    <row r="45" spans="1:9" x14ac:dyDescent="0.25">
      <c r="A45" s="10">
        <v>5</v>
      </c>
      <c r="B45" s="10" t="s">
        <v>73</v>
      </c>
      <c r="C45" s="10" t="s">
        <v>70</v>
      </c>
      <c r="D45" s="10" t="s">
        <v>74</v>
      </c>
      <c r="E45" s="10" t="s">
        <v>22</v>
      </c>
      <c r="F45" s="10" t="s">
        <v>45</v>
      </c>
      <c r="G45" s="10">
        <v>0.142319</v>
      </c>
      <c r="H45" s="10" t="s">
        <v>19</v>
      </c>
      <c r="I45" s="10">
        <v>1</v>
      </c>
    </row>
    <row r="46" spans="1:9" x14ac:dyDescent="0.25">
      <c r="A46" s="10">
        <v>5</v>
      </c>
      <c r="B46" s="10" t="s">
        <v>56</v>
      </c>
      <c r="C46" s="10" t="s">
        <v>25</v>
      </c>
      <c r="D46" s="10" t="s">
        <v>57</v>
      </c>
      <c r="E46" s="10" t="s">
        <v>57</v>
      </c>
      <c r="F46" s="10" t="s">
        <v>27</v>
      </c>
      <c r="G46" s="10"/>
      <c r="H46" s="10"/>
      <c r="I46" s="10">
        <v>5</v>
      </c>
    </row>
    <row r="47" spans="1:9" x14ac:dyDescent="0.25">
      <c r="A47" s="10">
        <v>5</v>
      </c>
      <c r="B47" s="10" t="s">
        <v>75</v>
      </c>
      <c r="C47" s="10" t="s">
        <v>25</v>
      </c>
      <c r="D47" s="10" t="s">
        <v>76</v>
      </c>
      <c r="E47" s="10" t="s">
        <v>76</v>
      </c>
      <c r="F47" s="10" t="s">
        <v>27</v>
      </c>
      <c r="G47" s="10"/>
      <c r="H47" s="10"/>
      <c r="I47" s="10">
        <v>6</v>
      </c>
    </row>
    <row r="48" spans="1:9" x14ac:dyDescent="0.25">
      <c r="A48" s="10">
        <v>5</v>
      </c>
      <c r="B48" s="10" t="s">
        <v>49</v>
      </c>
      <c r="C48" s="10" t="s">
        <v>25</v>
      </c>
      <c r="D48" s="10" t="s">
        <v>50</v>
      </c>
      <c r="E48" s="10" t="s">
        <v>50</v>
      </c>
      <c r="F48" s="10" t="s">
        <v>27</v>
      </c>
      <c r="G48" s="10"/>
      <c r="H48" s="10"/>
      <c r="I48" s="10">
        <v>14</v>
      </c>
    </row>
    <row r="49" spans="1:9" x14ac:dyDescent="0.25">
      <c r="A49" s="9">
        <v>4</v>
      </c>
      <c r="B49" s="9" t="s">
        <v>77</v>
      </c>
      <c r="C49" s="9" t="s">
        <v>78</v>
      </c>
      <c r="D49" s="9" t="s">
        <v>31</v>
      </c>
      <c r="E49" s="9" t="s">
        <v>31</v>
      </c>
      <c r="H49" s="9" t="s">
        <v>19</v>
      </c>
      <c r="I49" s="9">
        <v>1</v>
      </c>
    </row>
    <row r="50" spans="1:9" x14ac:dyDescent="0.25">
      <c r="A50" s="10">
        <v>5</v>
      </c>
      <c r="B50" s="10" t="s">
        <v>79</v>
      </c>
      <c r="C50" s="10" t="s">
        <v>78</v>
      </c>
      <c r="D50" s="10" t="s">
        <v>33</v>
      </c>
      <c r="E50" s="10" t="s">
        <v>22</v>
      </c>
      <c r="F50" s="10" t="s">
        <v>80</v>
      </c>
      <c r="G50" s="10">
        <v>0.39160899999999998</v>
      </c>
      <c r="H50" s="10" t="s">
        <v>19</v>
      </c>
      <c r="I50" s="10">
        <v>1</v>
      </c>
    </row>
    <row r="51" spans="1:9" x14ac:dyDescent="0.25">
      <c r="A51" s="10">
        <v>5</v>
      </c>
      <c r="B51" s="10" t="s">
        <v>81</v>
      </c>
      <c r="C51" s="10" t="s">
        <v>25</v>
      </c>
      <c r="D51" s="10"/>
      <c r="E51" s="10" t="s">
        <v>82</v>
      </c>
      <c r="F51" s="10" t="s">
        <v>27</v>
      </c>
      <c r="G51" s="10"/>
      <c r="H51" s="10"/>
      <c r="I51" s="10">
        <v>2</v>
      </c>
    </row>
    <row r="52" spans="1:9" x14ac:dyDescent="0.25">
      <c r="A52" s="10">
        <v>5</v>
      </c>
      <c r="B52" s="10" t="s">
        <v>83</v>
      </c>
      <c r="C52" s="10" t="s">
        <v>25</v>
      </c>
      <c r="D52" s="10" t="s">
        <v>57</v>
      </c>
      <c r="E52" s="10" t="s">
        <v>57</v>
      </c>
      <c r="F52" s="10" t="s">
        <v>27</v>
      </c>
      <c r="G52" s="10">
        <v>1.78746E-3</v>
      </c>
      <c r="H52" s="10"/>
      <c r="I52" s="10">
        <v>3</v>
      </c>
    </row>
    <row r="53" spans="1:9" x14ac:dyDescent="0.25">
      <c r="A53" s="10">
        <v>5</v>
      </c>
      <c r="B53" s="10" t="s">
        <v>84</v>
      </c>
      <c r="C53" s="10" t="s">
        <v>25</v>
      </c>
      <c r="D53" s="10" t="s">
        <v>50</v>
      </c>
      <c r="E53" s="10" t="s">
        <v>50</v>
      </c>
      <c r="F53" s="10" t="s">
        <v>27</v>
      </c>
      <c r="G53" s="10"/>
      <c r="H53" s="10"/>
      <c r="I53" s="10">
        <v>16</v>
      </c>
    </row>
    <row r="54" spans="1:9" x14ac:dyDescent="0.25">
      <c r="A54" s="9">
        <v>4</v>
      </c>
      <c r="B54" s="9" t="s">
        <v>85</v>
      </c>
      <c r="C54" s="9" t="s">
        <v>86</v>
      </c>
      <c r="D54" s="9" t="s">
        <v>87</v>
      </c>
      <c r="E54" s="9" t="s">
        <v>31</v>
      </c>
      <c r="H54" s="9" t="s">
        <v>19</v>
      </c>
      <c r="I54" s="9">
        <v>1</v>
      </c>
    </row>
    <row r="55" spans="1:9" x14ac:dyDescent="0.25">
      <c r="A55" s="10">
        <v>5</v>
      </c>
      <c r="B55" s="10" t="s">
        <v>88</v>
      </c>
      <c r="C55" s="10" t="s">
        <v>86</v>
      </c>
      <c r="D55" s="10" t="s">
        <v>89</v>
      </c>
      <c r="E55" s="10" t="s">
        <v>22</v>
      </c>
      <c r="F55" s="10" t="s">
        <v>45</v>
      </c>
      <c r="G55" s="10">
        <v>5.4466500000000001E-2</v>
      </c>
      <c r="H55" s="10" t="s">
        <v>19</v>
      </c>
      <c r="I55" s="10">
        <v>1</v>
      </c>
    </row>
    <row r="56" spans="1:9" x14ac:dyDescent="0.25">
      <c r="A56" s="10">
        <v>5</v>
      </c>
      <c r="B56" s="10" t="s">
        <v>56</v>
      </c>
      <c r="C56" s="10" t="s">
        <v>25</v>
      </c>
      <c r="D56" s="10" t="s">
        <v>57</v>
      </c>
      <c r="E56" s="10" t="s">
        <v>57</v>
      </c>
      <c r="F56" s="10" t="s">
        <v>27</v>
      </c>
      <c r="G56" s="10"/>
      <c r="H56" s="10"/>
      <c r="I56" s="10">
        <v>2</v>
      </c>
    </row>
    <row r="57" spans="1:9" x14ac:dyDescent="0.25">
      <c r="A57" s="10">
        <v>5</v>
      </c>
      <c r="B57" s="10" t="s">
        <v>90</v>
      </c>
      <c r="C57" s="10" t="s">
        <v>25</v>
      </c>
      <c r="D57" s="10"/>
      <c r="E57" s="10" t="s">
        <v>91</v>
      </c>
      <c r="F57" s="10" t="s">
        <v>27</v>
      </c>
      <c r="G57" s="10"/>
      <c r="H57" s="10"/>
      <c r="I57" s="10">
        <v>3</v>
      </c>
    </row>
    <row r="58" spans="1:9" x14ac:dyDescent="0.25">
      <c r="A58" s="10">
        <v>5</v>
      </c>
      <c r="B58" s="10" t="s">
        <v>49</v>
      </c>
      <c r="C58" s="10" t="s">
        <v>25</v>
      </c>
      <c r="D58" s="10" t="s">
        <v>50</v>
      </c>
      <c r="E58" s="10" t="s">
        <v>50</v>
      </c>
      <c r="F58" s="10" t="s">
        <v>27</v>
      </c>
      <c r="G58" s="10"/>
      <c r="H58" s="10"/>
      <c r="I58" s="10">
        <v>8</v>
      </c>
    </row>
    <row r="59" spans="1:9" x14ac:dyDescent="0.25">
      <c r="A59" s="9">
        <v>4</v>
      </c>
      <c r="B59" s="9" t="s">
        <v>92</v>
      </c>
      <c r="C59" s="9" t="s">
        <v>35</v>
      </c>
      <c r="D59" s="9" t="s">
        <v>93</v>
      </c>
      <c r="E59" s="9" t="s">
        <v>94</v>
      </c>
      <c r="H59" s="9" t="s">
        <v>19</v>
      </c>
      <c r="I59" s="9">
        <v>1</v>
      </c>
    </row>
    <row r="60" spans="1:9" x14ac:dyDescent="0.25">
      <c r="A60" s="10">
        <v>5</v>
      </c>
      <c r="B60" s="10" t="s">
        <v>95</v>
      </c>
      <c r="C60" s="10" t="s">
        <v>35</v>
      </c>
      <c r="D60" s="10" t="s">
        <v>96</v>
      </c>
      <c r="E60" s="10" t="s">
        <v>97</v>
      </c>
      <c r="F60" s="10" t="s">
        <v>45</v>
      </c>
      <c r="G60" s="10">
        <v>2.7370599999999998E-2</v>
      </c>
      <c r="H60" s="10" t="s">
        <v>19</v>
      </c>
      <c r="I60" s="10">
        <v>1</v>
      </c>
    </row>
    <row r="61" spans="1:9" x14ac:dyDescent="0.25">
      <c r="A61" s="10">
        <v>5</v>
      </c>
      <c r="B61" s="10" t="s">
        <v>49</v>
      </c>
      <c r="C61" s="10" t="s">
        <v>25</v>
      </c>
      <c r="D61" s="10" t="s">
        <v>50</v>
      </c>
      <c r="E61" s="10" t="s">
        <v>50</v>
      </c>
      <c r="F61" s="10" t="s">
        <v>27</v>
      </c>
      <c r="G61" s="10"/>
      <c r="H61" s="10"/>
      <c r="I61" s="10">
        <v>6</v>
      </c>
    </row>
    <row r="62" spans="1:9" x14ac:dyDescent="0.25">
      <c r="A62" s="9">
        <v>4</v>
      </c>
      <c r="B62" s="9" t="s">
        <v>98</v>
      </c>
      <c r="C62" s="9" t="s">
        <v>86</v>
      </c>
      <c r="D62" s="9" t="s">
        <v>99</v>
      </c>
      <c r="E62" s="9" t="s">
        <v>100</v>
      </c>
      <c r="F62" s="9" t="s">
        <v>101</v>
      </c>
      <c r="G62" s="9">
        <v>0.13908100000000001</v>
      </c>
      <c r="H62" s="9" t="s">
        <v>102</v>
      </c>
      <c r="I62" s="9">
        <v>1</v>
      </c>
    </row>
    <row r="63" spans="1:9" x14ac:dyDescent="0.25">
      <c r="A63" s="9">
        <v>4</v>
      </c>
      <c r="B63" s="9" t="s">
        <v>103</v>
      </c>
      <c r="C63" s="9" t="s">
        <v>86</v>
      </c>
      <c r="D63" s="9" t="s">
        <v>99</v>
      </c>
      <c r="E63" s="9" t="s">
        <v>104</v>
      </c>
      <c r="F63" s="9" t="s">
        <v>101</v>
      </c>
      <c r="G63" s="9">
        <v>0.23142599999999999</v>
      </c>
      <c r="H63" s="9" t="s">
        <v>102</v>
      </c>
      <c r="I63" s="9">
        <v>1</v>
      </c>
    </row>
    <row r="64" spans="1:9" x14ac:dyDescent="0.25">
      <c r="A64" s="9">
        <v>4</v>
      </c>
      <c r="B64" s="9" t="s">
        <v>105</v>
      </c>
      <c r="C64" s="9" t="s">
        <v>106</v>
      </c>
      <c r="D64" s="9" t="s">
        <v>107</v>
      </c>
      <c r="E64" s="9" t="s">
        <v>108</v>
      </c>
      <c r="H64" s="9" t="s">
        <v>19</v>
      </c>
      <c r="I64" s="9">
        <v>1</v>
      </c>
    </row>
    <row r="65" spans="1:9" x14ac:dyDescent="0.25">
      <c r="A65" s="10">
        <v>5</v>
      </c>
      <c r="B65" s="10" t="s">
        <v>109</v>
      </c>
      <c r="C65" s="10" t="s">
        <v>106</v>
      </c>
      <c r="D65" s="10" t="s">
        <v>110</v>
      </c>
      <c r="E65" s="10" t="s">
        <v>111</v>
      </c>
      <c r="F65" s="10" t="s">
        <v>101</v>
      </c>
      <c r="G65" s="10">
        <v>3.5351199999999999E-2</v>
      </c>
      <c r="H65" s="10" t="s">
        <v>19</v>
      </c>
      <c r="I65" s="10">
        <v>1</v>
      </c>
    </row>
    <row r="66" spans="1:9" x14ac:dyDescent="0.25">
      <c r="A66" s="10">
        <v>5</v>
      </c>
      <c r="B66" s="10" t="s">
        <v>112</v>
      </c>
      <c r="C66" s="10" t="s">
        <v>106</v>
      </c>
      <c r="D66" s="10" t="s">
        <v>113</v>
      </c>
      <c r="E66" s="10" t="s">
        <v>22</v>
      </c>
      <c r="F66" s="10" t="s">
        <v>114</v>
      </c>
      <c r="G66" s="10">
        <v>1.4843900000000001</v>
      </c>
      <c r="H66" s="10" t="s">
        <v>19</v>
      </c>
      <c r="I66" s="10">
        <v>1</v>
      </c>
    </row>
    <row r="67" spans="1:9" x14ac:dyDescent="0.25">
      <c r="A67" s="10">
        <v>5</v>
      </c>
      <c r="B67" s="10" t="s">
        <v>115</v>
      </c>
      <c r="C67" s="10" t="s">
        <v>25</v>
      </c>
      <c r="D67" s="10"/>
      <c r="E67" s="10" t="s">
        <v>36</v>
      </c>
      <c r="F67" s="10" t="s">
        <v>27</v>
      </c>
      <c r="G67" s="10"/>
      <c r="H67" s="10"/>
      <c r="I67" s="10">
        <v>2</v>
      </c>
    </row>
    <row r="68" spans="1:9" x14ac:dyDescent="0.25">
      <c r="A68" s="10">
        <v>5</v>
      </c>
      <c r="B68" s="10" t="s">
        <v>116</v>
      </c>
      <c r="C68" s="10" t="s">
        <v>25</v>
      </c>
      <c r="D68" s="10"/>
      <c r="E68" s="10" t="s">
        <v>117</v>
      </c>
      <c r="F68" s="10" t="s">
        <v>27</v>
      </c>
      <c r="G68" s="10"/>
      <c r="H68" s="10"/>
      <c r="I68" s="10">
        <v>3</v>
      </c>
    </row>
    <row r="69" spans="1:9" x14ac:dyDescent="0.25">
      <c r="A69" s="10">
        <v>5</v>
      </c>
      <c r="B69" s="10" t="s">
        <v>118</v>
      </c>
      <c r="C69" s="10" t="s">
        <v>25</v>
      </c>
      <c r="D69" s="10" t="s">
        <v>76</v>
      </c>
      <c r="E69" s="10" t="s">
        <v>76</v>
      </c>
      <c r="F69" s="10" t="s">
        <v>27</v>
      </c>
      <c r="G69" s="10"/>
      <c r="H69" s="10"/>
      <c r="I69" s="10">
        <v>4</v>
      </c>
    </row>
    <row r="70" spans="1:9" x14ac:dyDescent="0.25">
      <c r="A70" s="10">
        <v>5</v>
      </c>
      <c r="B70" s="10" t="s">
        <v>119</v>
      </c>
      <c r="C70" s="10" t="s">
        <v>25</v>
      </c>
      <c r="D70" s="10" t="s">
        <v>50</v>
      </c>
      <c r="E70" s="10" t="s">
        <v>50</v>
      </c>
      <c r="F70" s="10" t="s">
        <v>27</v>
      </c>
      <c r="G70" s="10"/>
      <c r="H70" s="10"/>
      <c r="I70" s="10">
        <v>17</v>
      </c>
    </row>
    <row r="71" spans="1:9" x14ac:dyDescent="0.25">
      <c r="A71" s="9">
        <v>4</v>
      </c>
      <c r="B71" s="9" t="s">
        <v>120</v>
      </c>
      <c r="C71" s="9" t="s">
        <v>54</v>
      </c>
      <c r="D71" s="9" t="s">
        <v>121</v>
      </c>
      <c r="E71" s="9" t="s">
        <v>42</v>
      </c>
      <c r="H71" s="9" t="s">
        <v>19</v>
      </c>
      <c r="I71" s="9">
        <v>1</v>
      </c>
    </row>
    <row r="72" spans="1:9" x14ac:dyDescent="0.25">
      <c r="A72" s="10">
        <v>5</v>
      </c>
      <c r="B72" s="10" t="s">
        <v>122</v>
      </c>
      <c r="C72" s="10" t="s">
        <v>54</v>
      </c>
      <c r="D72" s="10" t="s">
        <v>123</v>
      </c>
      <c r="E72" s="10" t="s">
        <v>22</v>
      </c>
      <c r="F72" s="10" t="s">
        <v>124</v>
      </c>
      <c r="G72" s="10">
        <v>0.49105100000000002</v>
      </c>
      <c r="H72" s="10" t="s">
        <v>19</v>
      </c>
      <c r="I72" s="10">
        <v>1</v>
      </c>
    </row>
    <row r="73" spans="1:9" x14ac:dyDescent="0.25">
      <c r="A73" s="10">
        <v>5</v>
      </c>
      <c r="B73" s="10" t="s">
        <v>125</v>
      </c>
      <c r="C73" s="10" t="s">
        <v>25</v>
      </c>
      <c r="D73" s="10" t="s">
        <v>126</v>
      </c>
      <c r="E73" s="10" t="s">
        <v>126</v>
      </c>
      <c r="F73" s="10" t="s">
        <v>27</v>
      </c>
      <c r="G73" s="10">
        <v>2.2757300000000001E-3</v>
      </c>
      <c r="H73" s="10"/>
      <c r="I73" s="10">
        <v>3</v>
      </c>
    </row>
    <row r="74" spans="1:9" ht="120" x14ac:dyDescent="0.25">
      <c r="A74" s="10">
        <v>5</v>
      </c>
      <c r="B74" s="10" t="s">
        <v>127</v>
      </c>
      <c r="C74" s="10" t="s">
        <v>25</v>
      </c>
      <c r="D74" s="12" t="s">
        <v>128</v>
      </c>
      <c r="E74" s="10" t="s">
        <v>129</v>
      </c>
      <c r="F74" s="10" t="s">
        <v>27</v>
      </c>
      <c r="G74" s="10">
        <v>8.62366E-3</v>
      </c>
      <c r="H74" s="10"/>
      <c r="I74" s="10">
        <v>4</v>
      </c>
    </row>
    <row r="75" spans="1:9" ht="105" x14ac:dyDescent="0.25">
      <c r="A75" s="9">
        <v>4</v>
      </c>
      <c r="B75" s="9" t="s">
        <v>130</v>
      </c>
      <c r="C75" s="9" t="s">
        <v>131</v>
      </c>
      <c r="D75" s="11" t="s">
        <v>132</v>
      </c>
      <c r="E75" s="9" t="s">
        <v>133</v>
      </c>
      <c r="H75" s="9" t="s">
        <v>19</v>
      </c>
      <c r="I75" s="9">
        <v>1</v>
      </c>
    </row>
    <row r="76" spans="1:9" x14ac:dyDescent="0.25">
      <c r="A76" s="10">
        <v>5</v>
      </c>
      <c r="B76" s="10" t="s">
        <v>134</v>
      </c>
      <c r="C76" s="10" t="s">
        <v>131</v>
      </c>
      <c r="D76" s="10" t="s">
        <v>135</v>
      </c>
      <c r="E76" s="10" t="s">
        <v>22</v>
      </c>
      <c r="F76" s="10" t="s">
        <v>23</v>
      </c>
      <c r="G76" s="10">
        <v>0.15198200000000001</v>
      </c>
      <c r="H76" s="10" t="s">
        <v>19</v>
      </c>
      <c r="I76" s="10">
        <v>1</v>
      </c>
    </row>
    <row r="77" spans="1:9" x14ac:dyDescent="0.25">
      <c r="A77" s="10">
        <v>5</v>
      </c>
      <c r="B77" s="10" t="s">
        <v>24</v>
      </c>
      <c r="C77" s="10" t="s">
        <v>25</v>
      </c>
      <c r="D77" s="10"/>
      <c r="E77" s="10" t="s">
        <v>26</v>
      </c>
      <c r="F77" s="10" t="s">
        <v>27</v>
      </c>
      <c r="G77" s="10"/>
      <c r="H77" s="10"/>
      <c r="I77" s="10">
        <v>4</v>
      </c>
    </row>
    <row r="78" spans="1:9" ht="105" x14ac:dyDescent="0.25">
      <c r="A78" s="9">
        <v>4</v>
      </c>
      <c r="B78" s="9" t="s">
        <v>136</v>
      </c>
      <c r="C78" s="9" t="s">
        <v>131</v>
      </c>
      <c r="D78" s="11" t="s">
        <v>132</v>
      </c>
      <c r="E78" s="9" t="s">
        <v>133</v>
      </c>
      <c r="H78" s="9" t="s">
        <v>19</v>
      </c>
      <c r="I78" s="9">
        <v>1</v>
      </c>
    </row>
    <row r="79" spans="1:9" x14ac:dyDescent="0.25">
      <c r="A79" s="10">
        <v>5</v>
      </c>
      <c r="B79" s="10" t="s">
        <v>137</v>
      </c>
      <c r="C79" s="10" t="s">
        <v>25</v>
      </c>
      <c r="D79" s="10" t="s">
        <v>50</v>
      </c>
      <c r="E79" s="10" t="s">
        <v>50</v>
      </c>
      <c r="F79" s="10" t="s">
        <v>27</v>
      </c>
      <c r="G79" s="10">
        <v>1.76592E-3</v>
      </c>
      <c r="H79" s="10"/>
      <c r="I79" s="10">
        <v>1</v>
      </c>
    </row>
    <row r="80" spans="1:9" x14ac:dyDescent="0.25">
      <c r="A80" s="10">
        <v>5</v>
      </c>
      <c r="B80" s="10" t="s">
        <v>138</v>
      </c>
      <c r="C80" s="10" t="s">
        <v>131</v>
      </c>
      <c r="D80" s="10" t="s">
        <v>135</v>
      </c>
      <c r="E80" s="10" t="s">
        <v>22</v>
      </c>
      <c r="F80" s="10" t="s">
        <v>23</v>
      </c>
      <c r="G80" s="10">
        <v>0.20883499999999999</v>
      </c>
      <c r="H80" s="10" t="s">
        <v>19</v>
      </c>
      <c r="I80" s="10">
        <v>1</v>
      </c>
    </row>
    <row r="81" spans="1:9" x14ac:dyDescent="0.25">
      <c r="A81" s="10">
        <v>5</v>
      </c>
      <c r="B81" s="10" t="s">
        <v>24</v>
      </c>
      <c r="C81" s="10" t="s">
        <v>25</v>
      </c>
      <c r="D81" s="10"/>
      <c r="E81" s="10" t="s">
        <v>26</v>
      </c>
      <c r="F81" s="10" t="s">
        <v>27</v>
      </c>
      <c r="G81" s="10"/>
      <c r="H81" s="10"/>
      <c r="I81" s="10">
        <v>4</v>
      </c>
    </row>
    <row r="82" spans="1:9" x14ac:dyDescent="0.25">
      <c r="A82" s="9">
        <v>4</v>
      </c>
      <c r="B82" s="9" t="s">
        <v>139</v>
      </c>
      <c r="C82" s="9" t="s">
        <v>40</v>
      </c>
      <c r="D82" s="9" t="s">
        <v>140</v>
      </c>
      <c r="E82" s="9" t="s">
        <v>141</v>
      </c>
      <c r="F82" s="9" t="s">
        <v>23</v>
      </c>
      <c r="G82" s="9">
        <v>1.49404E-2</v>
      </c>
      <c r="H82" s="9" t="s">
        <v>19</v>
      </c>
      <c r="I82" s="9">
        <v>1</v>
      </c>
    </row>
    <row r="83" spans="1:9" x14ac:dyDescent="0.25">
      <c r="A83" s="9">
        <v>4</v>
      </c>
      <c r="B83" s="9" t="s">
        <v>142</v>
      </c>
      <c r="C83" s="9" t="s">
        <v>40</v>
      </c>
      <c r="D83" s="9" t="s">
        <v>143</v>
      </c>
      <c r="E83" s="9" t="s">
        <v>144</v>
      </c>
      <c r="F83" s="9" t="s">
        <v>23</v>
      </c>
      <c r="G83" s="9">
        <v>0.12736700000000001</v>
      </c>
      <c r="H83" s="9" t="s">
        <v>19</v>
      </c>
      <c r="I83" s="9">
        <v>1</v>
      </c>
    </row>
    <row r="84" spans="1:9" x14ac:dyDescent="0.25">
      <c r="A84" s="9">
        <v>4</v>
      </c>
      <c r="B84" s="9" t="s">
        <v>145</v>
      </c>
      <c r="C84" s="9" t="s">
        <v>40</v>
      </c>
      <c r="D84" s="9" t="s">
        <v>146</v>
      </c>
      <c r="E84" s="9" t="s">
        <v>141</v>
      </c>
      <c r="F84" s="9" t="s">
        <v>23</v>
      </c>
      <c r="G84" s="9">
        <v>1.2850500000000001E-2</v>
      </c>
      <c r="H84" s="9" t="s">
        <v>19</v>
      </c>
      <c r="I84" s="9">
        <v>1</v>
      </c>
    </row>
    <row r="85" spans="1:9" ht="75" x14ac:dyDescent="0.25">
      <c r="A85" s="9">
        <v>4</v>
      </c>
      <c r="B85" s="9" t="s">
        <v>147</v>
      </c>
      <c r="C85" s="9" t="s">
        <v>29</v>
      </c>
      <c r="D85" s="11" t="s">
        <v>148</v>
      </c>
      <c r="E85" s="9" t="s">
        <v>149</v>
      </c>
      <c r="H85" s="9" t="s">
        <v>150</v>
      </c>
      <c r="I85" s="9">
        <v>1</v>
      </c>
    </row>
    <row r="86" spans="1:9" x14ac:dyDescent="0.25">
      <c r="A86" s="10">
        <v>5</v>
      </c>
      <c r="B86" s="10" t="s">
        <v>151</v>
      </c>
      <c r="C86" s="10" t="s">
        <v>29</v>
      </c>
      <c r="D86" s="10" t="s">
        <v>152</v>
      </c>
      <c r="E86" s="10" t="s">
        <v>153</v>
      </c>
      <c r="F86" s="10" t="s">
        <v>101</v>
      </c>
      <c r="G86" s="10">
        <v>0.22809299999999999</v>
      </c>
      <c r="H86" s="10" t="s">
        <v>150</v>
      </c>
      <c r="I86" s="10">
        <v>1</v>
      </c>
    </row>
    <row r="87" spans="1:9" x14ac:dyDescent="0.25">
      <c r="A87" s="9">
        <v>6</v>
      </c>
      <c r="B87" s="9" t="s">
        <v>154</v>
      </c>
      <c r="C87" s="9" t="s">
        <v>29</v>
      </c>
      <c r="D87" s="9" t="s">
        <v>155</v>
      </c>
      <c r="E87" s="9" t="s">
        <v>155</v>
      </c>
      <c r="F87" s="9" t="s">
        <v>101</v>
      </c>
      <c r="G87" s="9">
        <v>0.22809299999999999</v>
      </c>
      <c r="H87" s="9" t="s">
        <v>150</v>
      </c>
      <c r="I87" s="9">
        <v>1</v>
      </c>
    </row>
    <row r="88" spans="1:9" x14ac:dyDescent="0.25">
      <c r="A88" s="10">
        <v>5</v>
      </c>
      <c r="B88" s="10" t="s">
        <v>156</v>
      </c>
      <c r="C88" s="10" t="s">
        <v>25</v>
      </c>
      <c r="D88" s="10"/>
      <c r="E88" s="10" t="s">
        <v>157</v>
      </c>
      <c r="F88" s="10" t="s">
        <v>27</v>
      </c>
      <c r="G88" s="10">
        <v>2.7665099999999998E-3</v>
      </c>
      <c r="H88" s="10"/>
      <c r="I88" s="10">
        <v>2</v>
      </c>
    </row>
    <row r="89" spans="1:9" x14ac:dyDescent="0.25">
      <c r="A89" s="10">
        <v>5</v>
      </c>
      <c r="B89" s="10" t="s">
        <v>158</v>
      </c>
      <c r="C89" s="10" t="s">
        <v>25</v>
      </c>
      <c r="D89" s="10"/>
      <c r="E89" s="10" t="s">
        <v>159</v>
      </c>
      <c r="F89" s="10" t="s">
        <v>27</v>
      </c>
      <c r="G89" s="10"/>
      <c r="H89" s="10"/>
      <c r="I89" s="10">
        <v>8</v>
      </c>
    </row>
    <row r="90" spans="1:9" x14ac:dyDescent="0.25">
      <c r="A90" s="9">
        <v>4</v>
      </c>
      <c r="B90" s="9" t="s">
        <v>160</v>
      </c>
      <c r="C90" s="9" t="s">
        <v>17</v>
      </c>
      <c r="D90" s="9" t="s">
        <v>133</v>
      </c>
      <c r="E90" s="9" t="s">
        <v>133</v>
      </c>
      <c r="H90" s="9" t="s">
        <v>19</v>
      </c>
      <c r="I90" s="9">
        <v>1</v>
      </c>
    </row>
    <row r="91" spans="1:9" x14ac:dyDescent="0.25">
      <c r="A91" s="10">
        <v>5</v>
      </c>
      <c r="B91" s="10" t="s">
        <v>161</v>
      </c>
      <c r="C91" s="10" t="s">
        <v>17</v>
      </c>
      <c r="D91" s="10" t="s">
        <v>162</v>
      </c>
      <c r="E91" s="10" t="s">
        <v>22</v>
      </c>
      <c r="F91" s="10" t="s">
        <v>45</v>
      </c>
      <c r="G91" s="10">
        <v>0.115733</v>
      </c>
      <c r="H91" s="10" t="s">
        <v>19</v>
      </c>
      <c r="I91" s="10">
        <v>1</v>
      </c>
    </row>
    <row r="92" spans="1:9" x14ac:dyDescent="0.25">
      <c r="A92" s="10">
        <v>5</v>
      </c>
      <c r="B92" s="10" t="s">
        <v>56</v>
      </c>
      <c r="C92" s="10" t="s">
        <v>25</v>
      </c>
      <c r="D92" s="10" t="s">
        <v>57</v>
      </c>
      <c r="E92" s="10" t="s">
        <v>57</v>
      </c>
      <c r="F92" s="10" t="s">
        <v>27</v>
      </c>
      <c r="G92" s="10"/>
      <c r="H92" s="10"/>
      <c r="I92" s="10">
        <v>6</v>
      </c>
    </row>
    <row r="93" spans="1:9" x14ac:dyDescent="0.25">
      <c r="A93" s="9">
        <v>4</v>
      </c>
      <c r="B93" s="9" t="s">
        <v>163</v>
      </c>
      <c r="C93" s="9" t="s">
        <v>86</v>
      </c>
      <c r="D93" s="9" t="s">
        <v>164</v>
      </c>
      <c r="E93" s="9" t="s">
        <v>164</v>
      </c>
      <c r="H93" s="9" t="s">
        <v>165</v>
      </c>
      <c r="I93" s="9">
        <v>1</v>
      </c>
    </row>
    <row r="94" spans="1:9" ht="225" x14ac:dyDescent="0.25">
      <c r="A94" s="10">
        <v>5</v>
      </c>
      <c r="B94" s="10" t="s">
        <v>166</v>
      </c>
      <c r="C94" s="10" t="s">
        <v>131</v>
      </c>
      <c r="D94" s="12" t="s">
        <v>167</v>
      </c>
      <c r="E94" s="10" t="s">
        <v>168</v>
      </c>
      <c r="F94" s="10" t="s">
        <v>169</v>
      </c>
      <c r="G94" s="10">
        <v>0.18022199999999999</v>
      </c>
      <c r="H94" s="10" t="s">
        <v>165</v>
      </c>
      <c r="I94" s="10">
        <v>1</v>
      </c>
    </row>
    <row r="95" spans="1:9" x14ac:dyDescent="0.25">
      <c r="A95" s="10">
        <v>5</v>
      </c>
      <c r="B95" s="10" t="s">
        <v>170</v>
      </c>
      <c r="C95" s="10" t="s">
        <v>29</v>
      </c>
      <c r="D95" s="10" t="s">
        <v>171</v>
      </c>
      <c r="E95" s="10" t="s">
        <v>171</v>
      </c>
      <c r="H95" s="10"/>
      <c r="I95" s="10">
        <v>3</v>
      </c>
    </row>
    <row r="96" spans="1:9" x14ac:dyDescent="0.25">
      <c r="A96" s="9">
        <v>6</v>
      </c>
      <c r="B96" s="9" t="s">
        <v>172</v>
      </c>
      <c r="C96" s="9" t="s">
        <v>29</v>
      </c>
      <c r="D96" s="9" t="s">
        <v>173</v>
      </c>
      <c r="E96" s="9" t="s">
        <v>173</v>
      </c>
      <c r="F96" s="9" t="s">
        <v>101</v>
      </c>
      <c r="G96" s="9">
        <v>1.4948400000000001E-2</v>
      </c>
      <c r="H96" s="9"/>
      <c r="I96" s="9">
        <v>1</v>
      </c>
    </row>
    <row r="97" spans="1:9" x14ac:dyDescent="0.25">
      <c r="A97" s="9">
        <v>6</v>
      </c>
      <c r="B97" s="9" t="s">
        <v>174</v>
      </c>
      <c r="C97" s="9" t="s">
        <v>25</v>
      </c>
      <c r="D97" s="9"/>
      <c r="E97" s="9" t="s">
        <v>175</v>
      </c>
      <c r="F97" s="9" t="s">
        <v>176</v>
      </c>
      <c r="G97" s="9"/>
      <c r="H97" s="9"/>
      <c r="I97" s="9">
        <v>1</v>
      </c>
    </row>
    <row r="98" spans="1:9" x14ac:dyDescent="0.25">
      <c r="A98" s="10">
        <v>5</v>
      </c>
      <c r="B98" s="10" t="s">
        <v>177</v>
      </c>
      <c r="C98" s="10" t="s">
        <v>25</v>
      </c>
      <c r="D98" s="10"/>
      <c r="E98" s="10" t="s">
        <v>178</v>
      </c>
      <c r="F98" s="10" t="s">
        <v>27</v>
      </c>
      <c r="G98" s="10"/>
      <c r="H98" s="10"/>
      <c r="I98" s="10">
        <v>6</v>
      </c>
    </row>
    <row r="99" spans="1:9" x14ac:dyDescent="0.25">
      <c r="A99" s="9">
        <v>4</v>
      </c>
      <c r="B99" s="9" t="s">
        <v>179</v>
      </c>
      <c r="C99" s="9" t="s">
        <v>86</v>
      </c>
      <c r="D99" s="9" t="s">
        <v>164</v>
      </c>
      <c r="E99" s="9" t="s">
        <v>180</v>
      </c>
      <c r="H99" s="9" t="s">
        <v>165</v>
      </c>
      <c r="I99" s="9">
        <v>1</v>
      </c>
    </row>
    <row r="100" spans="1:9" ht="195" x14ac:dyDescent="0.25">
      <c r="A100" s="10">
        <v>5</v>
      </c>
      <c r="B100" s="10" t="s">
        <v>181</v>
      </c>
      <c r="C100" s="10" t="s">
        <v>131</v>
      </c>
      <c r="D100" s="12" t="s">
        <v>182</v>
      </c>
      <c r="E100" s="10" t="s">
        <v>183</v>
      </c>
      <c r="F100" s="10" t="s">
        <v>169</v>
      </c>
      <c r="G100" s="10">
        <v>0.180731</v>
      </c>
      <c r="H100" s="10" t="s">
        <v>165</v>
      </c>
      <c r="I100" s="10">
        <v>1</v>
      </c>
    </row>
    <row r="101" spans="1:9" x14ac:dyDescent="0.25">
      <c r="A101" s="10">
        <v>5</v>
      </c>
      <c r="B101" s="10" t="s">
        <v>170</v>
      </c>
      <c r="C101" s="10" t="s">
        <v>29</v>
      </c>
      <c r="D101" s="10" t="s">
        <v>171</v>
      </c>
      <c r="E101" s="10" t="s">
        <v>171</v>
      </c>
      <c r="H101" s="10"/>
      <c r="I101" s="10">
        <v>2</v>
      </c>
    </row>
    <row r="102" spans="1:9" x14ac:dyDescent="0.25">
      <c r="A102" s="9">
        <v>6</v>
      </c>
      <c r="B102" s="9" t="s">
        <v>172</v>
      </c>
      <c r="C102" s="9" t="s">
        <v>29</v>
      </c>
      <c r="D102" s="9" t="s">
        <v>173</v>
      </c>
      <c r="E102" s="9" t="s">
        <v>173</v>
      </c>
      <c r="F102" s="9" t="s">
        <v>101</v>
      </c>
      <c r="G102" s="9">
        <v>1.4948400000000001E-2</v>
      </c>
      <c r="H102" s="9"/>
      <c r="I102" s="9">
        <v>1</v>
      </c>
    </row>
    <row r="103" spans="1:9" x14ac:dyDescent="0.25">
      <c r="A103" s="9">
        <v>6</v>
      </c>
      <c r="B103" s="9" t="s">
        <v>174</v>
      </c>
      <c r="C103" s="9" t="s">
        <v>25</v>
      </c>
      <c r="D103" s="9"/>
      <c r="E103" s="9" t="s">
        <v>175</v>
      </c>
      <c r="F103" s="9" t="s">
        <v>176</v>
      </c>
      <c r="G103" s="9"/>
      <c r="H103" s="9"/>
      <c r="I103" s="9">
        <v>1</v>
      </c>
    </row>
    <row r="104" spans="1:9" x14ac:dyDescent="0.25">
      <c r="A104" s="10">
        <v>5</v>
      </c>
      <c r="B104" s="10" t="s">
        <v>177</v>
      </c>
      <c r="C104" s="10" t="s">
        <v>25</v>
      </c>
      <c r="D104" s="10"/>
      <c r="E104" s="10" t="s">
        <v>178</v>
      </c>
      <c r="F104" s="10" t="s">
        <v>27</v>
      </c>
      <c r="G104" s="10"/>
      <c r="H104" s="10"/>
      <c r="I104" s="10">
        <v>4</v>
      </c>
    </row>
    <row r="105" spans="1:9" x14ac:dyDescent="0.25">
      <c r="A105" s="9">
        <v>4</v>
      </c>
      <c r="B105" s="9" t="s">
        <v>184</v>
      </c>
      <c r="C105" s="9" t="s">
        <v>86</v>
      </c>
      <c r="D105" s="9" t="s">
        <v>164</v>
      </c>
      <c r="E105" s="9" t="s">
        <v>185</v>
      </c>
      <c r="H105" s="9" t="s">
        <v>165</v>
      </c>
      <c r="I105" s="9">
        <v>1</v>
      </c>
    </row>
    <row r="106" spans="1:9" ht="195" x14ac:dyDescent="0.25">
      <c r="A106" s="10">
        <v>5</v>
      </c>
      <c r="B106" s="10" t="s">
        <v>186</v>
      </c>
      <c r="C106" s="10" t="s">
        <v>131</v>
      </c>
      <c r="D106" s="12" t="s">
        <v>182</v>
      </c>
      <c r="E106" s="10" t="s">
        <v>187</v>
      </c>
      <c r="F106" s="10" t="s">
        <v>169</v>
      </c>
      <c r="G106" s="10">
        <v>0.18022199999999999</v>
      </c>
      <c r="H106" s="10" t="s">
        <v>165</v>
      </c>
      <c r="I106" s="10">
        <v>1</v>
      </c>
    </row>
    <row r="107" spans="1:9" x14ac:dyDescent="0.25">
      <c r="A107" s="10">
        <v>5</v>
      </c>
      <c r="B107" s="10" t="s">
        <v>170</v>
      </c>
      <c r="C107" s="10" t="s">
        <v>29</v>
      </c>
      <c r="D107" s="10" t="s">
        <v>171</v>
      </c>
      <c r="E107" s="10" t="s">
        <v>171</v>
      </c>
      <c r="H107" s="10"/>
      <c r="I107" s="10">
        <v>3</v>
      </c>
    </row>
    <row r="108" spans="1:9" x14ac:dyDescent="0.25">
      <c r="A108" s="9">
        <v>6</v>
      </c>
      <c r="B108" s="9" t="s">
        <v>172</v>
      </c>
      <c r="C108" s="9" t="s">
        <v>29</v>
      </c>
      <c r="D108" s="9" t="s">
        <v>173</v>
      </c>
      <c r="E108" s="9" t="s">
        <v>173</v>
      </c>
      <c r="F108" s="9" t="s">
        <v>101</v>
      </c>
      <c r="G108" s="9">
        <v>1.4948400000000001E-2</v>
      </c>
      <c r="H108" s="9"/>
      <c r="I108" s="9">
        <v>1</v>
      </c>
    </row>
    <row r="109" spans="1:9" x14ac:dyDescent="0.25">
      <c r="A109" s="9">
        <v>6</v>
      </c>
      <c r="B109" s="9" t="s">
        <v>174</v>
      </c>
      <c r="C109" s="9" t="s">
        <v>25</v>
      </c>
      <c r="D109" s="9"/>
      <c r="E109" s="9" t="s">
        <v>175</v>
      </c>
      <c r="F109" s="9" t="s">
        <v>176</v>
      </c>
      <c r="G109" s="9"/>
      <c r="H109" s="9"/>
      <c r="I109" s="9">
        <v>1</v>
      </c>
    </row>
    <row r="110" spans="1:9" x14ac:dyDescent="0.25">
      <c r="A110" s="10">
        <v>5</v>
      </c>
      <c r="B110" s="10" t="s">
        <v>177</v>
      </c>
      <c r="C110" s="10" t="s">
        <v>25</v>
      </c>
      <c r="D110" s="10"/>
      <c r="E110" s="10" t="s">
        <v>178</v>
      </c>
      <c r="F110" s="10" t="s">
        <v>27</v>
      </c>
      <c r="G110" s="10"/>
      <c r="H110" s="10"/>
      <c r="I110" s="10">
        <v>6</v>
      </c>
    </row>
    <row r="111" spans="1:9" x14ac:dyDescent="0.25">
      <c r="A111" s="9">
        <v>4</v>
      </c>
      <c r="B111" s="9" t="s">
        <v>188</v>
      </c>
      <c r="C111" s="9" t="s">
        <v>86</v>
      </c>
      <c r="D111" s="9" t="s">
        <v>164</v>
      </c>
      <c r="E111" s="9" t="s">
        <v>189</v>
      </c>
      <c r="H111" s="9" t="s">
        <v>165</v>
      </c>
      <c r="I111" s="9">
        <v>1</v>
      </c>
    </row>
    <row r="112" spans="1:9" ht="195" x14ac:dyDescent="0.25">
      <c r="A112" s="10">
        <v>5</v>
      </c>
      <c r="B112" s="10" t="s">
        <v>190</v>
      </c>
      <c r="C112" s="10" t="s">
        <v>131</v>
      </c>
      <c r="D112" s="12" t="s">
        <v>182</v>
      </c>
      <c r="E112" s="10" t="s">
        <v>168</v>
      </c>
      <c r="F112" s="10" t="s">
        <v>169</v>
      </c>
      <c r="G112" s="10">
        <v>0.18013000000000001</v>
      </c>
      <c r="H112" s="10" t="s">
        <v>165</v>
      </c>
      <c r="I112" s="10">
        <v>1</v>
      </c>
    </row>
    <row r="113" spans="1:9" x14ac:dyDescent="0.25">
      <c r="A113" s="10">
        <v>5</v>
      </c>
      <c r="B113" s="10" t="s">
        <v>170</v>
      </c>
      <c r="C113" s="10" t="s">
        <v>29</v>
      </c>
      <c r="D113" s="10" t="s">
        <v>171</v>
      </c>
      <c r="E113" s="10" t="s">
        <v>171</v>
      </c>
      <c r="H113" s="10"/>
      <c r="I113" s="10">
        <v>3</v>
      </c>
    </row>
    <row r="114" spans="1:9" x14ac:dyDescent="0.25">
      <c r="A114" s="9">
        <v>6</v>
      </c>
      <c r="B114" s="9" t="s">
        <v>172</v>
      </c>
      <c r="C114" s="9" t="s">
        <v>29</v>
      </c>
      <c r="D114" s="9" t="s">
        <v>173</v>
      </c>
      <c r="E114" s="9" t="s">
        <v>173</v>
      </c>
      <c r="F114" s="9" t="s">
        <v>101</v>
      </c>
      <c r="G114" s="9">
        <v>1.4948400000000001E-2</v>
      </c>
      <c r="H114" s="9"/>
      <c r="I114" s="9">
        <v>1</v>
      </c>
    </row>
    <row r="115" spans="1:9" x14ac:dyDescent="0.25">
      <c r="A115" s="9">
        <v>6</v>
      </c>
      <c r="B115" s="9" t="s">
        <v>174</v>
      </c>
      <c r="C115" s="9" t="s">
        <v>25</v>
      </c>
      <c r="D115" s="9"/>
      <c r="E115" s="9" t="s">
        <v>175</v>
      </c>
      <c r="F115" s="9" t="s">
        <v>176</v>
      </c>
      <c r="G115" s="9"/>
      <c r="H115" s="9"/>
      <c r="I115" s="9">
        <v>1</v>
      </c>
    </row>
    <row r="116" spans="1:9" x14ac:dyDescent="0.25">
      <c r="A116" s="10">
        <v>5</v>
      </c>
      <c r="B116" s="10" t="s">
        <v>177</v>
      </c>
      <c r="C116" s="10" t="s">
        <v>25</v>
      </c>
      <c r="D116" s="10"/>
      <c r="E116" s="10" t="s">
        <v>178</v>
      </c>
      <c r="F116" s="10" t="s">
        <v>27</v>
      </c>
      <c r="G116" s="10"/>
      <c r="H116" s="10"/>
      <c r="I116" s="10">
        <v>6</v>
      </c>
    </row>
    <row r="117" spans="1:9" x14ac:dyDescent="0.25">
      <c r="A117" s="9">
        <v>4</v>
      </c>
      <c r="B117" s="9" t="s">
        <v>191</v>
      </c>
      <c r="C117" s="9" t="s">
        <v>54</v>
      </c>
      <c r="D117" s="9" t="s">
        <v>192</v>
      </c>
      <c r="E117" s="9" t="s">
        <v>193</v>
      </c>
      <c r="F117" s="9" t="s">
        <v>101</v>
      </c>
      <c r="G117" s="9">
        <v>8.2435400000000006E-3</v>
      </c>
      <c r="H117" s="9"/>
      <c r="I117" s="9">
        <v>1</v>
      </c>
    </row>
    <row r="118" spans="1:9" x14ac:dyDescent="0.25">
      <c r="A118" s="9">
        <v>4</v>
      </c>
      <c r="B118" s="9" t="s">
        <v>194</v>
      </c>
      <c r="C118" s="9" t="s">
        <v>29</v>
      </c>
      <c r="D118" s="9" t="s">
        <v>195</v>
      </c>
      <c r="E118" s="9" t="s">
        <v>195</v>
      </c>
      <c r="H118" s="9"/>
      <c r="I118" s="9">
        <v>1</v>
      </c>
    </row>
    <row r="119" spans="1:9" x14ac:dyDescent="0.25">
      <c r="A119" s="10">
        <v>5</v>
      </c>
      <c r="B119" s="10" t="s">
        <v>196</v>
      </c>
      <c r="C119" s="10" t="s">
        <v>29</v>
      </c>
      <c r="D119" s="10" t="s">
        <v>197</v>
      </c>
      <c r="E119" s="10" t="s">
        <v>198</v>
      </c>
      <c r="F119" s="10" t="s">
        <v>101</v>
      </c>
      <c r="G119" s="10">
        <v>7.8740400000000006E-3</v>
      </c>
      <c r="H119" s="10"/>
      <c r="I119" s="10">
        <v>1</v>
      </c>
    </row>
    <row r="120" spans="1:9" x14ac:dyDescent="0.25">
      <c r="A120" s="10">
        <v>5</v>
      </c>
      <c r="B120" s="10" t="s">
        <v>199</v>
      </c>
      <c r="C120" s="10" t="s">
        <v>25</v>
      </c>
      <c r="D120" s="10"/>
      <c r="E120" s="10" t="s">
        <v>200</v>
      </c>
      <c r="F120" s="10" t="s">
        <v>27</v>
      </c>
      <c r="G120" s="10"/>
      <c r="H120" s="10"/>
      <c r="I120" s="10">
        <v>1</v>
      </c>
    </row>
    <row r="121" spans="1:9" ht="135" x14ac:dyDescent="0.25">
      <c r="A121" s="9">
        <v>4</v>
      </c>
      <c r="B121" s="9" t="s">
        <v>201</v>
      </c>
      <c r="C121" s="9" t="s">
        <v>78</v>
      </c>
      <c r="D121" s="11" t="s">
        <v>202</v>
      </c>
      <c r="E121" s="9" t="s">
        <v>203</v>
      </c>
      <c r="F121" s="9" t="s">
        <v>45</v>
      </c>
      <c r="G121" s="9">
        <v>2.2311399999999999E-2</v>
      </c>
      <c r="H121" s="9"/>
      <c r="I121" s="9">
        <v>1</v>
      </c>
    </row>
    <row r="122" spans="1:9" ht="135" x14ac:dyDescent="0.25">
      <c r="A122" s="9">
        <v>4</v>
      </c>
      <c r="B122" s="9" t="s">
        <v>204</v>
      </c>
      <c r="C122" s="9" t="s">
        <v>78</v>
      </c>
      <c r="D122" s="11" t="s">
        <v>202</v>
      </c>
      <c r="E122" s="9" t="s">
        <v>203</v>
      </c>
      <c r="F122" s="9" t="s">
        <v>45</v>
      </c>
      <c r="G122" s="9">
        <v>3.6119799999999999E-3</v>
      </c>
      <c r="H122" s="9"/>
      <c r="I122" s="9">
        <v>1</v>
      </c>
    </row>
    <row r="123" spans="1:9" x14ac:dyDescent="0.25">
      <c r="A123" s="9">
        <v>4</v>
      </c>
      <c r="B123" s="9" t="s">
        <v>205</v>
      </c>
      <c r="C123" s="9" t="s">
        <v>40</v>
      </c>
      <c r="D123" s="9" t="s">
        <v>206</v>
      </c>
      <c r="E123" s="9" t="s">
        <v>206</v>
      </c>
      <c r="H123" s="9" t="s">
        <v>19</v>
      </c>
      <c r="I123" s="9">
        <v>1</v>
      </c>
    </row>
    <row r="124" spans="1:9" x14ac:dyDescent="0.25">
      <c r="A124" s="10">
        <v>5</v>
      </c>
      <c r="B124" s="10" t="s">
        <v>207</v>
      </c>
      <c r="C124" s="10" t="s">
        <v>40</v>
      </c>
      <c r="D124" s="10" t="s">
        <v>208</v>
      </c>
      <c r="E124" s="10" t="s">
        <v>144</v>
      </c>
      <c r="F124" s="10" t="s">
        <v>60</v>
      </c>
      <c r="G124" s="10">
        <v>0.330484</v>
      </c>
      <c r="H124" s="10" t="s">
        <v>19</v>
      </c>
      <c r="I124" s="10">
        <v>1</v>
      </c>
    </row>
    <row r="125" spans="1:9" x14ac:dyDescent="0.25">
      <c r="A125" s="10">
        <v>5</v>
      </c>
      <c r="B125" s="10" t="s">
        <v>49</v>
      </c>
      <c r="C125" s="10" t="s">
        <v>25</v>
      </c>
      <c r="D125" s="10" t="s">
        <v>50</v>
      </c>
      <c r="E125" s="10" t="s">
        <v>50</v>
      </c>
      <c r="F125" s="10" t="s">
        <v>27</v>
      </c>
      <c r="G125" s="10"/>
      <c r="H125" s="10"/>
      <c r="I125" s="10">
        <v>4</v>
      </c>
    </row>
    <row r="126" spans="1:9" x14ac:dyDescent="0.25">
      <c r="A126" s="9">
        <v>4</v>
      </c>
      <c r="B126" s="9" t="s">
        <v>209</v>
      </c>
      <c r="C126" s="9" t="s">
        <v>210</v>
      </c>
      <c r="D126" s="9" t="s">
        <v>211</v>
      </c>
      <c r="E126" s="9" t="s">
        <v>211</v>
      </c>
      <c r="H126" s="9" t="s">
        <v>19</v>
      </c>
      <c r="I126" s="9">
        <v>1</v>
      </c>
    </row>
    <row r="127" spans="1:9" ht="135" x14ac:dyDescent="0.25">
      <c r="A127" s="10">
        <v>5</v>
      </c>
      <c r="B127" s="10" t="s">
        <v>212</v>
      </c>
      <c r="C127" s="10" t="s">
        <v>86</v>
      </c>
      <c r="D127" s="12" t="s">
        <v>213</v>
      </c>
      <c r="E127" s="10" t="s">
        <v>22</v>
      </c>
      <c r="F127" s="10" t="s">
        <v>45</v>
      </c>
      <c r="G127" s="10">
        <v>0.27258700000000002</v>
      </c>
      <c r="H127" s="10" t="s">
        <v>19</v>
      </c>
      <c r="I127" s="10">
        <v>1</v>
      </c>
    </row>
    <row r="128" spans="1:9" x14ac:dyDescent="0.25">
      <c r="A128" s="10">
        <v>5</v>
      </c>
      <c r="B128" s="10" t="s">
        <v>90</v>
      </c>
      <c r="C128" s="10" t="s">
        <v>25</v>
      </c>
      <c r="D128" s="10"/>
      <c r="E128" s="10" t="s">
        <v>91</v>
      </c>
      <c r="F128" s="10" t="s">
        <v>27</v>
      </c>
      <c r="G128" s="10"/>
      <c r="H128" s="10"/>
      <c r="I128" s="10">
        <v>5</v>
      </c>
    </row>
    <row r="129" spans="1:9" x14ac:dyDescent="0.25">
      <c r="A129" s="10">
        <v>5</v>
      </c>
      <c r="B129" s="10" t="s">
        <v>56</v>
      </c>
      <c r="C129" s="10" t="s">
        <v>25</v>
      </c>
      <c r="D129" s="10" t="s">
        <v>57</v>
      </c>
      <c r="E129" s="10" t="s">
        <v>57</v>
      </c>
      <c r="F129" s="10" t="s">
        <v>27</v>
      </c>
      <c r="G129" s="10"/>
      <c r="H129" s="10"/>
      <c r="I129" s="10">
        <v>6</v>
      </c>
    </row>
    <row r="130" spans="1:9" x14ac:dyDescent="0.25">
      <c r="A130" s="10">
        <v>5</v>
      </c>
      <c r="B130" s="10" t="s">
        <v>214</v>
      </c>
      <c r="C130" s="10" t="s">
        <v>25</v>
      </c>
      <c r="D130" s="10"/>
      <c r="E130" s="10" t="s">
        <v>117</v>
      </c>
      <c r="F130" s="10" t="s">
        <v>27</v>
      </c>
      <c r="G130" s="10">
        <v>5.3241800000000004E-3</v>
      </c>
      <c r="H130" s="10"/>
      <c r="I130" s="10">
        <v>12</v>
      </c>
    </row>
    <row r="131" spans="1:9" x14ac:dyDescent="0.25">
      <c r="A131" s="10">
        <v>5</v>
      </c>
      <c r="B131" s="10" t="s">
        <v>49</v>
      </c>
      <c r="C131" s="10" t="s">
        <v>25</v>
      </c>
      <c r="D131" s="10" t="s">
        <v>50</v>
      </c>
      <c r="E131" s="10" t="s">
        <v>50</v>
      </c>
      <c r="F131" s="10" t="s">
        <v>27</v>
      </c>
      <c r="G131" s="10"/>
      <c r="H131" s="10"/>
      <c r="I131" s="10">
        <v>17</v>
      </c>
    </row>
    <row r="132" spans="1:9" x14ac:dyDescent="0.25">
      <c r="A132" s="10">
        <v>5</v>
      </c>
      <c r="B132" s="10" t="s">
        <v>51</v>
      </c>
      <c r="C132" s="10" t="s">
        <v>25</v>
      </c>
      <c r="D132" s="10" t="s">
        <v>52</v>
      </c>
      <c r="E132" s="10" t="s">
        <v>52</v>
      </c>
      <c r="F132" s="10" t="s">
        <v>27</v>
      </c>
      <c r="G132" s="10"/>
      <c r="H132" s="10"/>
      <c r="I132" s="10">
        <v>19</v>
      </c>
    </row>
    <row r="133" spans="1:9" x14ac:dyDescent="0.25">
      <c r="A133" s="9">
        <v>4</v>
      </c>
      <c r="B133" s="9" t="s">
        <v>215</v>
      </c>
      <c r="C133" s="9" t="s">
        <v>17</v>
      </c>
      <c r="D133" s="9" t="s">
        <v>18</v>
      </c>
      <c r="E133" s="9" t="s">
        <v>18</v>
      </c>
      <c r="H133" s="9" t="s">
        <v>19</v>
      </c>
      <c r="I133" s="9">
        <v>1</v>
      </c>
    </row>
    <row r="134" spans="1:9" x14ac:dyDescent="0.25">
      <c r="A134" s="10">
        <v>5</v>
      </c>
      <c r="B134" s="10" t="s">
        <v>216</v>
      </c>
      <c r="C134" s="10" t="s">
        <v>17</v>
      </c>
      <c r="D134" s="10" t="s">
        <v>21</v>
      </c>
      <c r="E134" s="10" t="s">
        <v>22</v>
      </c>
      <c r="F134" s="10" t="s">
        <v>23</v>
      </c>
      <c r="G134" s="10">
        <v>6.1641000000000001E-2</v>
      </c>
      <c r="H134" s="10" t="s">
        <v>19</v>
      </c>
      <c r="I134" s="10">
        <v>1</v>
      </c>
    </row>
    <row r="135" spans="1:9" x14ac:dyDescent="0.25">
      <c r="A135" s="10">
        <v>5</v>
      </c>
      <c r="B135" s="10" t="s">
        <v>24</v>
      </c>
      <c r="C135" s="10" t="s">
        <v>25</v>
      </c>
      <c r="D135" s="10"/>
      <c r="E135" s="10" t="s">
        <v>26</v>
      </c>
      <c r="F135" s="10" t="s">
        <v>27</v>
      </c>
      <c r="G135" s="10"/>
      <c r="H135" s="10"/>
      <c r="I135" s="10">
        <v>2</v>
      </c>
    </row>
    <row r="136" spans="1:9" x14ac:dyDescent="0.25">
      <c r="A136" s="9">
        <v>4</v>
      </c>
      <c r="B136" s="9" t="s">
        <v>217</v>
      </c>
      <c r="C136" s="9" t="s">
        <v>17</v>
      </c>
      <c r="D136" s="9" t="s">
        <v>133</v>
      </c>
      <c r="E136" s="9" t="s">
        <v>133</v>
      </c>
      <c r="H136" s="9" t="s">
        <v>218</v>
      </c>
      <c r="I136" s="9">
        <v>1</v>
      </c>
    </row>
    <row r="137" spans="1:9" x14ac:dyDescent="0.25">
      <c r="A137" s="10">
        <v>5</v>
      </c>
      <c r="B137" s="10" t="s">
        <v>219</v>
      </c>
      <c r="C137" s="10" t="s">
        <v>17</v>
      </c>
      <c r="D137" s="10" t="s">
        <v>220</v>
      </c>
      <c r="E137" s="10" t="s">
        <v>22</v>
      </c>
      <c r="F137" s="10" t="s">
        <v>80</v>
      </c>
      <c r="G137" s="10">
        <v>5.99185E-2</v>
      </c>
      <c r="H137" s="10" t="s">
        <v>19</v>
      </c>
      <c r="I137" s="10">
        <v>1</v>
      </c>
    </row>
    <row r="138" spans="1:9" x14ac:dyDescent="0.25">
      <c r="A138" s="10">
        <v>5</v>
      </c>
      <c r="B138" s="10" t="s">
        <v>83</v>
      </c>
      <c r="C138" s="10" t="s">
        <v>25</v>
      </c>
      <c r="D138" s="10" t="s">
        <v>57</v>
      </c>
      <c r="E138" s="10" t="s">
        <v>57</v>
      </c>
      <c r="F138" s="10" t="s">
        <v>27</v>
      </c>
      <c r="G138" s="10">
        <v>1.78746E-3</v>
      </c>
      <c r="H138" s="10"/>
      <c r="I138" s="10">
        <v>4</v>
      </c>
    </row>
    <row r="139" spans="1:9" ht="105" x14ac:dyDescent="0.25">
      <c r="A139" s="9">
        <v>4</v>
      </c>
      <c r="B139" s="9" t="s">
        <v>221</v>
      </c>
      <c r="C139" s="9" t="s">
        <v>17</v>
      </c>
      <c r="D139" s="11" t="s">
        <v>132</v>
      </c>
      <c r="E139" s="9" t="s">
        <v>133</v>
      </c>
      <c r="H139" s="9" t="s">
        <v>19</v>
      </c>
      <c r="I139" s="9">
        <v>1</v>
      </c>
    </row>
    <row r="140" spans="1:9" x14ac:dyDescent="0.25">
      <c r="A140" s="10">
        <v>5</v>
      </c>
      <c r="B140" s="10" t="s">
        <v>222</v>
      </c>
      <c r="C140" s="10" t="s">
        <v>17</v>
      </c>
      <c r="D140" s="10" t="s">
        <v>22</v>
      </c>
      <c r="E140" s="10" t="s">
        <v>22</v>
      </c>
      <c r="F140" s="10" t="s">
        <v>80</v>
      </c>
      <c r="G140" s="10">
        <v>0.23957899999999999</v>
      </c>
      <c r="H140" s="10" t="s">
        <v>223</v>
      </c>
      <c r="I140" s="10">
        <v>1</v>
      </c>
    </row>
    <row r="141" spans="1:9" x14ac:dyDescent="0.25">
      <c r="A141" s="10">
        <v>5</v>
      </c>
      <c r="B141" s="10" t="s">
        <v>24</v>
      </c>
      <c r="C141" s="10" t="s">
        <v>25</v>
      </c>
      <c r="D141" s="10"/>
      <c r="E141" s="10" t="s">
        <v>26</v>
      </c>
      <c r="F141" s="10" t="s">
        <v>27</v>
      </c>
      <c r="G141" s="10"/>
      <c r="H141" s="10"/>
      <c r="I141" s="10">
        <v>4</v>
      </c>
    </row>
    <row r="142" spans="1:9" x14ac:dyDescent="0.25">
      <c r="A142" s="9">
        <v>4</v>
      </c>
      <c r="B142" s="9" t="s">
        <v>224</v>
      </c>
      <c r="C142" s="9" t="s">
        <v>25</v>
      </c>
      <c r="D142" s="9"/>
      <c r="E142" s="9" t="s">
        <v>9</v>
      </c>
      <c r="F142" s="9" t="s">
        <v>27</v>
      </c>
      <c r="G142" s="9"/>
      <c r="H142" s="9"/>
      <c r="I142" s="9">
        <v>2</v>
      </c>
    </row>
    <row r="143" spans="1:9" x14ac:dyDescent="0.25">
      <c r="A143" s="9">
        <v>4</v>
      </c>
      <c r="B143" s="9" t="s">
        <v>225</v>
      </c>
      <c r="C143" s="9" t="s">
        <v>25</v>
      </c>
      <c r="D143" s="9"/>
      <c r="E143" s="9" t="s">
        <v>9</v>
      </c>
      <c r="F143" s="9" t="s">
        <v>27</v>
      </c>
      <c r="G143" s="9"/>
      <c r="H143" s="9"/>
      <c r="I143" s="9">
        <v>2</v>
      </c>
    </row>
    <row r="144" spans="1:9" x14ac:dyDescent="0.25">
      <c r="A144" s="9">
        <v>4</v>
      </c>
      <c r="B144" s="9" t="s">
        <v>226</v>
      </c>
      <c r="C144" s="9" t="s">
        <v>227</v>
      </c>
      <c r="D144" s="9" t="s">
        <v>228</v>
      </c>
      <c r="E144" s="9" t="s">
        <v>111</v>
      </c>
      <c r="F144" s="9" t="s">
        <v>101</v>
      </c>
      <c r="G144" s="9">
        <v>0.113486</v>
      </c>
      <c r="H144" s="9" t="s">
        <v>102</v>
      </c>
      <c r="I144" s="9">
        <v>2</v>
      </c>
    </row>
    <row r="145" spans="1:9" x14ac:dyDescent="0.25">
      <c r="A145" s="9">
        <v>4</v>
      </c>
      <c r="B145" s="9" t="s">
        <v>229</v>
      </c>
      <c r="C145" s="9" t="s">
        <v>25</v>
      </c>
      <c r="D145" s="9" t="s">
        <v>230</v>
      </c>
      <c r="E145" s="9" t="s">
        <v>230</v>
      </c>
      <c r="F145" s="9" t="s">
        <v>169</v>
      </c>
      <c r="G145" s="9">
        <v>2.6893400000000001E-2</v>
      </c>
      <c r="H145" s="9" t="s">
        <v>165</v>
      </c>
      <c r="I145" s="9">
        <v>2</v>
      </c>
    </row>
    <row r="146" spans="1:9" x14ac:dyDescent="0.25">
      <c r="A146" s="9">
        <v>4</v>
      </c>
      <c r="B146" s="9" t="s">
        <v>231</v>
      </c>
      <c r="C146" s="9" t="s">
        <v>29</v>
      </c>
      <c r="D146" s="9" t="s">
        <v>232</v>
      </c>
      <c r="E146" s="9" t="s">
        <v>232</v>
      </c>
      <c r="H146" s="9" t="s">
        <v>218</v>
      </c>
      <c r="I146" s="9">
        <v>2</v>
      </c>
    </row>
    <row r="147" spans="1:9" x14ac:dyDescent="0.25">
      <c r="A147" s="10">
        <v>5</v>
      </c>
      <c r="B147" s="10" t="s">
        <v>233</v>
      </c>
      <c r="C147" s="10" t="s">
        <v>25</v>
      </c>
      <c r="D147" s="10" t="s">
        <v>234</v>
      </c>
      <c r="E147" s="10" t="s">
        <v>235</v>
      </c>
      <c r="F147" s="10" t="s">
        <v>236</v>
      </c>
      <c r="G147" s="10">
        <v>8.4709199999999998E-3</v>
      </c>
      <c r="H147" s="10"/>
      <c r="I147" s="10">
        <v>1</v>
      </c>
    </row>
    <row r="148" spans="1:9" x14ac:dyDescent="0.25">
      <c r="A148" s="10">
        <v>5</v>
      </c>
      <c r="B148" s="10" t="s">
        <v>237</v>
      </c>
      <c r="C148" s="10" t="s">
        <v>25</v>
      </c>
      <c r="D148" s="10" t="s">
        <v>235</v>
      </c>
      <c r="E148" s="10" t="s">
        <v>235</v>
      </c>
      <c r="F148" s="10" t="s">
        <v>236</v>
      </c>
      <c r="G148" s="10">
        <v>2.1868200000000001E-2</v>
      </c>
      <c r="H148" s="10"/>
      <c r="I148" s="10">
        <v>1</v>
      </c>
    </row>
    <row r="149" spans="1:9" x14ac:dyDescent="0.25">
      <c r="A149" s="10">
        <v>5</v>
      </c>
      <c r="B149" s="10" t="s">
        <v>238</v>
      </c>
      <c r="C149" s="10" t="s">
        <v>35</v>
      </c>
      <c r="D149" s="10" t="s">
        <v>239</v>
      </c>
      <c r="E149" s="10" t="s">
        <v>239</v>
      </c>
      <c r="F149" s="10" t="s">
        <v>101</v>
      </c>
      <c r="G149" s="10">
        <v>1.32763E-2</v>
      </c>
      <c r="H149" s="10" t="s">
        <v>150</v>
      </c>
      <c r="I149" s="10">
        <v>1</v>
      </c>
    </row>
    <row r="150" spans="1:9" x14ac:dyDescent="0.25">
      <c r="A150" s="10">
        <v>5</v>
      </c>
      <c r="B150" s="10" t="s">
        <v>240</v>
      </c>
      <c r="C150" s="10" t="s">
        <v>25</v>
      </c>
      <c r="D150" s="10"/>
      <c r="E150" s="10" t="s">
        <v>178</v>
      </c>
      <c r="F150" s="10" t="s">
        <v>27</v>
      </c>
      <c r="G150" s="10"/>
      <c r="H150" s="10"/>
      <c r="I150" s="10">
        <v>2</v>
      </c>
    </row>
    <row r="151" spans="1:9" x14ac:dyDescent="0.25">
      <c r="A151" s="10">
        <v>5</v>
      </c>
      <c r="B151" s="10" t="s">
        <v>241</v>
      </c>
      <c r="C151" s="10" t="s">
        <v>25</v>
      </c>
      <c r="D151" s="10"/>
      <c r="E151" s="10" t="s">
        <v>178</v>
      </c>
      <c r="F151" s="10" t="s">
        <v>27</v>
      </c>
      <c r="G151" s="10"/>
      <c r="H151" s="10"/>
      <c r="I151" s="10">
        <v>2</v>
      </c>
    </row>
    <row r="152" spans="1:9" x14ac:dyDescent="0.25">
      <c r="A152" s="9">
        <v>4</v>
      </c>
      <c r="B152" s="9" t="s">
        <v>242</v>
      </c>
      <c r="C152" s="9" t="s">
        <v>25</v>
      </c>
      <c r="D152" s="9" t="s">
        <v>230</v>
      </c>
      <c r="E152" s="9" t="s">
        <v>230</v>
      </c>
      <c r="F152" s="9" t="s">
        <v>169</v>
      </c>
      <c r="G152" s="9">
        <v>1.6781399999999998E-2</v>
      </c>
      <c r="H152" s="9" t="s">
        <v>165</v>
      </c>
      <c r="I152" s="9">
        <v>2</v>
      </c>
    </row>
    <row r="153" spans="1:9" x14ac:dyDescent="0.25">
      <c r="A153" s="9">
        <v>4</v>
      </c>
      <c r="B153" s="9" t="s">
        <v>241</v>
      </c>
      <c r="C153" s="9" t="s">
        <v>25</v>
      </c>
      <c r="D153" s="9"/>
      <c r="E153" s="9" t="s">
        <v>178</v>
      </c>
      <c r="F153" s="9" t="s">
        <v>27</v>
      </c>
      <c r="G153" s="9"/>
      <c r="H153" s="9"/>
      <c r="I153" s="9">
        <v>3</v>
      </c>
    </row>
    <row r="154" spans="1:9" x14ac:dyDescent="0.25">
      <c r="A154" s="9">
        <v>4</v>
      </c>
      <c r="B154" s="9" t="s">
        <v>6</v>
      </c>
      <c r="C154" s="9" t="s">
        <v>35</v>
      </c>
      <c r="D154" s="9"/>
      <c r="E154" s="9" t="s">
        <v>7</v>
      </c>
      <c r="F154" s="9" t="s">
        <v>27</v>
      </c>
      <c r="G154" s="9"/>
      <c r="H154" s="9"/>
      <c r="I154" s="9">
        <v>4</v>
      </c>
    </row>
    <row r="155" spans="1:9" x14ac:dyDescent="0.25">
      <c r="A155" s="9">
        <v>4</v>
      </c>
      <c r="B155" s="9" t="s">
        <v>243</v>
      </c>
      <c r="C155" s="9" t="s">
        <v>227</v>
      </c>
      <c r="D155" s="9" t="s">
        <v>244</v>
      </c>
      <c r="E155" s="9" t="s">
        <v>244</v>
      </c>
      <c r="F155" s="9" t="s">
        <v>101</v>
      </c>
      <c r="G155" s="9">
        <v>2.2644399999999999E-2</v>
      </c>
      <c r="H155" s="9" t="s">
        <v>102</v>
      </c>
      <c r="I155" s="9">
        <v>4</v>
      </c>
    </row>
    <row r="156" spans="1:9" x14ac:dyDescent="0.25">
      <c r="A156" s="9">
        <v>4</v>
      </c>
      <c r="B156" s="9" t="s">
        <v>245</v>
      </c>
      <c r="C156" s="9" t="s">
        <v>35</v>
      </c>
      <c r="D156" s="9" t="s">
        <v>246</v>
      </c>
      <c r="E156" s="9" t="s">
        <v>246</v>
      </c>
      <c r="H156" s="9"/>
      <c r="I156" s="9">
        <v>4</v>
      </c>
    </row>
    <row r="157" spans="1:9" x14ac:dyDescent="0.25">
      <c r="A157" s="10">
        <v>5</v>
      </c>
      <c r="B157" s="10" t="s">
        <v>247</v>
      </c>
      <c r="C157" s="10" t="s">
        <v>35</v>
      </c>
      <c r="D157" s="10" t="s">
        <v>198</v>
      </c>
      <c r="E157" s="10" t="s">
        <v>198</v>
      </c>
      <c r="F157" s="10" t="s">
        <v>101</v>
      </c>
      <c r="G157" s="10">
        <v>7.7510699999999997E-3</v>
      </c>
      <c r="H157" s="10"/>
      <c r="I157" s="10">
        <v>1</v>
      </c>
    </row>
    <row r="158" spans="1:9" x14ac:dyDescent="0.25">
      <c r="A158" s="10">
        <v>5</v>
      </c>
      <c r="B158" s="10" t="s">
        <v>199</v>
      </c>
      <c r="C158" s="10" t="s">
        <v>25</v>
      </c>
      <c r="D158" s="10"/>
      <c r="E158" s="10" t="s">
        <v>200</v>
      </c>
      <c r="F158" s="10" t="s">
        <v>27</v>
      </c>
      <c r="G158" s="10"/>
      <c r="H158" s="10"/>
      <c r="I158" s="10">
        <v>1</v>
      </c>
    </row>
    <row r="159" spans="1:9" x14ac:dyDescent="0.25">
      <c r="A159" s="9">
        <v>4</v>
      </c>
      <c r="B159" s="9" t="s">
        <v>248</v>
      </c>
      <c r="C159" s="9" t="s">
        <v>35</v>
      </c>
      <c r="D159" s="9"/>
      <c r="E159" s="9" t="s">
        <v>7</v>
      </c>
      <c r="F159" s="9" t="s">
        <v>27</v>
      </c>
      <c r="G159" s="9">
        <v>1.29429E-3</v>
      </c>
      <c r="H159" s="9"/>
      <c r="I159" s="9">
        <v>5</v>
      </c>
    </row>
    <row r="160" spans="1:9" x14ac:dyDescent="0.25">
      <c r="A160" s="9">
        <v>4</v>
      </c>
      <c r="B160" s="9" t="s">
        <v>10</v>
      </c>
      <c r="C160" s="9" t="s">
        <v>25</v>
      </c>
      <c r="D160" s="9"/>
      <c r="E160" s="9" t="s">
        <v>9</v>
      </c>
      <c r="F160" s="9" t="s">
        <v>27</v>
      </c>
      <c r="G160" s="9"/>
      <c r="H160" s="9"/>
      <c r="I160" s="9">
        <v>5</v>
      </c>
    </row>
    <row r="161" spans="1:9" x14ac:dyDescent="0.25">
      <c r="A161" s="9">
        <v>4</v>
      </c>
      <c r="B161" s="9" t="s">
        <v>249</v>
      </c>
      <c r="C161" s="9" t="s">
        <v>25</v>
      </c>
      <c r="D161" s="9"/>
      <c r="E161" s="9" t="s">
        <v>198</v>
      </c>
      <c r="F161" s="9" t="s">
        <v>101</v>
      </c>
      <c r="G161" s="9">
        <v>4.3531100000000003E-3</v>
      </c>
      <c r="H161" s="9" t="s">
        <v>250</v>
      </c>
      <c r="I161" s="9">
        <v>6</v>
      </c>
    </row>
    <row r="162" spans="1:9" ht="409.5" x14ac:dyDescent="0.25">
      <c r="A162" s="9">
        <v>4</v>
      </c>
      <c r="B162" s="9" t="s">
        <v>251</v>
      </c>
      <c r="C162" s="9" t="s">
        <v>78</v>
      </c>
      <c r="D162" s="11" t="s">
        <v>252</v>
      </c>
      <c r="E162" s="9" t="s">
        <v>111</v>
      </c>
      <c r="F162" s="9" t="s">
        <v>101</v>
      </c>
      <c r="G162" s="9">
        <v>4.8415899999999998E-3</v>
      </c>
      <c r="H162" s="9" t="s">
        <v>150</v>
      </c>
      <c r="I162" s="9">
        <v>6</v>
      </c>
    </row>
    <row r="163" spans="1:9" x14ac:dyDescent="0.25">
      <c r="A163" s="9">
        <v>4</v>
      </c>
      <c r="B163" s="9" t="s">
        <v>253</v>
      </c>
      <c r="C163" s="9" t="s">
        <v>25</v>
      </c>
      <c r="D163" s="9" t="s">
        <v>254</v>
      </c>
      <c r="E163" s="9" t="s">
        <v>254</v>
      </c>
      <c r="F163" s="9" t="s">
        <v>27</v>
      </c>
      <c r="G163" s="9"/>
      <c r="H163" s="9"/>
      <c r="I163" s="9">
        <v>8</v>
      </c>
    </row>
    <row r="164" spans="1:9" x14ac:dyDescent="0.25">
      <c r="A164" s="9">
        <v>4</v>
      </c>
      <c r="B164" s="9" t="s">
        <v>255</v>
      </c>
      <c r="C164" s="9" t="s">
        <v>25</v>
      </c>
      <c r="D164" s="9"/>
      <c r="E164" s="9" t="s">
        <v>256</v>
      </c>
      <c r="F164" s="9" t="s">
        <v>27</v>
      </c>
      <c r="G164" s="9"/>
      <c r="H164" s="9"/>
      <c r="I164" s="9">
        <v>8</v>
      </c>
    </row>
    <row r="165" spans="1:9" x14ac:dyDescent="0.25">
      <c r="A165" s="9">
        <v>4</v>
      </c>
      <c r="B165" s="9" t="s">
        <v>257</v>
      </c>
      <c r="C165" s="9" t="s">
        <v>25</v>
      </c>
      <c r="D165" s="9"/>
      <c r="E165" s="9" t="s">
        <v>7</v>
      </c>
      <c r="F165" s="9" t="s">
        <v>27</v>
      </c>
      <c r="G165" s="9"/>
      <c r="H165" s="9"/>
      <c r="I165" s="9">
        <v>9</v>
      </c>
    </row>
    <row r="166" spans="1:9" x14ac:dyDescent="0.25">
      <c r="A166" s="9">
        <v>4</v>
      </c>
      <c r="B166" s="9" t="s">
        <v>258</v>
      </c>
      <c r="C166" s="9" t="s">
        <v>35</v>
      </c>
      <c r="D166" s="9"/>
      <c r="E166" s="9" t="s">
        <v>178</v>
      </c>
      <c r="F166" s="9" t="s">
        <v>27</v>
      </c>
      <c r="G166" s="9"/>
      <c r="H166" s="9"/>
      <c r="I166" s="9">
        <v>9</v>
      </c>
    </row>
    <row r="167" spans="1:9" x14ac:dyDescent="0.25">
      <c r="A167" s="9">
        <v>4</v>
      </c>
      <c r="B167" s="9" t="s">
        <v>259</v>
      </c>
      <c r="C167" s="9" t="s">
        <v>35</v>
      </c>
      <c r="D167" s="9"/>
      <c r="E167" s="9" t="s">
        <v>260</v>
      </c>
      <c r="F167" s="9" t="s">
        <v>27</v>
      </c>
      <c r="G167" s="9">
        <v>3.5726600000000002E-4</v>
      </c>
      <c r="H167" s="9"/>
      <c r="I167" s="9">
        <v>18</v>
      </c>
    </row>
    <row r="168" spans="1:9" x14ac:dyDescent="0.25">
      <c r="A168" s="9">
        <v>4</v>
      </c>
      <c r="B168" s="9" t="s">
        <v>261</v>
      </c>
      <c r="C168" s="9" t="s">
        <v>25</v>
      </c>
      <c r="D168" s="9"/>
      <c r="E168" s="9" t="s">
        <v>9</v>
      </c>
      <c r="F168" s="9" t="s">
        <v>27</v>
      </c>
      <c r="G168" s="9"/>
      <c r="H168" s="9"/>
      <c r="I168" s="9">
        <v>39</v>
      </c>
    </row>
    <row r="169" spans="1:9" x14ac:dyDescent="0.25">
      <c r="A169" s="10">
        <v>3</v>
      </c>
      <c r="B169" s="10" t="s">
        <v>313</v>
      </c>
      <c r="C169" s="10" t="s">
        <v>78</v>
      </c>
      <c r="D169" s="10" t="s">
        <v>314</v>
      </c>
      <c r="E169" s="10" t="s">
        <v>315</v>
      </c>
      <c r="H169" s="10" t="s">
        <v>19</v>
      </c>
      <c r="I169" s="10">
        <v>1</v>
      </c>
    </row>
    <row r="170" spans="1:9" x14ac:dyDescent="0.25">
      <c r="A170" s="9">
        <v>4</v>
      </c>
      <c r="B170" s="9" t="s">
        <v>316</v>
      </c>
      <c r="C170" s="9" t="s">
        <v>78</v>
      </c>
      <c r="D170" s="9" t="s">
        <v>317</v>
      </c>
      <c r="E170" s="9" t="s">
        <v>22</v>
      </c>
      <c r="F170" s="9" t="s">
        <v>80</v>
      </c>
      <c r="G170" s="9">
        <v>0.136321</v>
      </c>
      <c r="H170" s="9" t="s">
        <v>19</v>
      </c>
      <c r="I170" s="9">
        <v>1</v>
      </c>
    </row>
    <row r="171" spans="1:9" x14ac:dyDescent="0.25">
      <c r="A171" s="9">
        <v>4</v>
      </c>
      <c r="B171" s="9" t="s">
        <v>318</v>
      </c>
      <c r="C171" s="9" t="s">
        <v>25</v>
      </c>
      <c r="D171" s="9"/>
      <c r="E171" s="9" t="s">
        <v>62</v>
      </c>
      <c r="F171" s="9" t="s">
        <v>27</v>
      </c>
      <c r="G171" s="9"/>
      <c r="H171" s="9"/>
      <c r="I171" s="9">
        <v>6</v>
      </c>
    </row>
    <row r="172" spans="1:9" x14ac:dyDescent="0.25">
      <c r="A172" s="10">
        <v>3</v>
      </c>
      <c r="B172" s="10" t="s">
        <v>319</v>
      </c>
      <c r="C172" s="10" t="s">
        <v>227</v>
      </c>
      <c r="D172" s="10" t="s">
        <v>320</v>
      </c>
      <c r="E172" s="10" t="s">
        <v>302</v>
      </c>
      <c r="H172" s="10" t="s">
        <v>223</v>
      </c>
      <c r="I172" s="10">
        <v>1</v>
      </c>
    </row>
    <row r="173" spans="1:9" x14ac:dyDescent="0.25">
      <c r="A173" s="9">
        <v>4</v>
      </c>
      <c r="B173" s="9" t="s">
        <v>321</v>
      </c>
      <c r="C173" s="9" t="s">
        <v>227</v>
      </c>
      <c r="D173" s="9" t="s">
        <v>322</v>
      </c>
      <c r="E173" s="9" t="s">
        <v>323</v>
      </c>
      <c r="F173" s="9" t="s">
        <v>324</v>
      </c>
      <c r="G173" s="9">
        <v>0.70998600000000001</v>
      </c>
      <c r="H173" s="9" t="s">
        <v>165</v>
      </c>
      <c r="I173" s="9">
        <v>1</v>
      </c>
    </row>
    <row r="174" spans="1:9" x14ac:dyDescent="0.25">
      <c r="A174" s="9">
        <v>4</v>
      </c>
      <c r="B174" s="9" t="s">
        <v>325</v>
      </c>
      <c r="C174" s="9" t="s">
        <v>227</v>
      </c>
      <c r="D174" s="9" t="s">
        <v>322</v>
      </c>
      <c r="E174" s="9" t="s">
        <v>323</v>
      </c>
      <c r="F174" s="9" t="s">
        <v>324</v>
      </c>
      <c r="G174" s="9">
        <v>0.69848299999999997</v>
      </c>
      <c r="H174" s="9" t="s">
        <v>165</v>
      </c>
      <c r="I174" s="9">
        <v>1</v>
      </c>
    </row>
    <row r="175" spans="1:9" x14ac:dyDescent="0.25">
      <c r="A175" s="9">
        <v>4</v>
      </c>
      <c r="B175" s="9" t="s">
        <v>326</v>
      </c>
      <c r="C175" s="9" t="s">
        <v>25</v>
      </c>
      <c r="D175" s="9" t="s">
        <v>327</v>
      </c>
      <c r="E175" s="9" t="s">
        <v>327</v>
      </c>
      <c r="F175" s="9"/>
      <c r="G175" s="9">
        <v>0</v>
      </c>
      <c r="H175" s="9"/>
      <c r="I175" s="9">
        <v>2</v>
      </c>
    </row>
    <row r="176" spans="1:9" ht="105" x14ac:dyDescent="0.25">
      <c r="A176" s="9">
        <v>4</v>
      </c>
      <c r="B176" s="9" t="s">
        <v>310</v>
      </c>
      <c r="C176" s="9" t="s">
        <v>25</v>
      </c>
      <c r="D176" s="11" t="s">
        <v>311</v>
      </c>
      <c r="E176" s="9" t="s">
        <v>312</v>
      </c>
      <c r="F176" s="9" t="s">
        <v>176</v>
      </c>
      <c r="G176" s="9">
        <v>8.2232099999999999E-4</v>
      </c>
      <c r="H176" s="9"/>
      <c r="I176" s="9">
        <v>4</v>
      </c>
    </row>
    <row r="177" spans="1:9" x14ac:dyDescent="0.25">
      <c r="A177" s="10">
        <v>3</v>
      </c>
      <c r="B177" s="10" t="s">
        <v>328</v>
      </c>
      <c r="C177" s="10" t="s">
        <v>35</v>
      </c>
      <c r="D177" s="10" t="s">
        <v>329</v>
      </c>
      <c r="E177" s="10" t="s">
        <v>330</v>
      </c>
      <c r="H177" s="10" t="s">
        <v>218</v>
      </c>
      <c r="I177" s="10">
        <v>1</v>
      </c>
    </row>
    <row r="178" spans="1:9" x14ac:dyDescent="0.25">
      <c r="A178" s="9">
        <v>4</v>
      </c>
      <c r="B178" s="9" t="s">
        <v>331</v>
      </c>
      <c r="C178" s="9" t="s">
        <v>25</v>
      </c>
      <c r="D178" s="9" t="s">
        <v>332</v>
      </c>
      <c r="E178" s="9" t="s">
        <v>332</v>
      </c>
      <c r="H178" s="9"/>
      <c r="I178" s="9">
        <v>1</v>
      </c>
    </row>
    <row r="179" spans="1:9" x14ac:dyDescent="0.25">
      <c r="A179" s="10">
        <v>5</v>
      </c>
      <c r="B179" s="10" t="s">
        <v>333</v>
      </c>
      <c r="C179" s="10" t="s">
        <v>25</v>
      </c>
      <c r="D179" s="10" t="s">
        <v>334</v>
      </c>
      <c r="E179" s="10" t="s">
        <v>334</v>
      </c>
      <c r="F179" s="10" t="s">
        <v>335</v>
      </c>
      <c r="G179" s="10">
        <v>0.37711</v>
      </c>
      <c r="H179" s="10"/>
      <c r="I179" s="10">
        <v>1</v>
      </c>
    </row>
    <row r="180" spans="1:9" x14ac:dyDescent="0.25">
      <c r="A180" s="10">
        <v>5</v>
      </c>
      <c r="B180" s="10" t="s">
        <v>336</v>
      </c>
      <c r="C180" s="10" t="s">
        <v>25</v>
      </c>
      <c r="D180" s="10" t="s">
        <v>337</v>
      </c>
      <c r="E180" s="10" t="s">
        <v>337</v>
      </c>
      <c r="F180" s="10" t="s">
        <v>335</v>
      </c>
      <c r="G180" s="10">
        <v>0.35534399999999999</v>
      </c>
      <c r="H180" s="10"/>
      <c r="I180" s="10">
        <v>1</v>
      </c>
    </row>
    <row r="181" spans="1:9" x14ac:dyDescent="0.25">
      <c r="A181" s="10">
        <v>5</v>
      </c>
      <c r="B181" s="10" t="s">
        <v>338</v>
      </c>
      <c r="C181" s="10" t="s">
        <v>25</v>
      </c>
      <c r="D181" s="10" t="s">
        <v>339</v>
      </c>
      <c r="E181" s="10" t="s">
        <v>339</v>
      </c>
      <c r="F181" s="10" t="s">
        <v>335</v>
      </c>
      <c r="G181" s="10">
        <v>0.72056299999999995</v>
      </c>
      <c r="H181" s="10"/>
      <c r="I181" s="10">
        <v>1</v>
      </c>
    </row>
    <row r="182" spans="1:9" x14ac:dyDescent="0.25">
      <c r="A182" s="10">
        <v>5</v>
      </c>
      <c r="B182" s="10" t="s">
        <v>340</v>
      </c>
      <c r="C182" s="10" t="s">
        <v>25</v>
      </c>
      <c r="D182" s="10" t="s">
        <v>341</v>
      </c>
      <c r="E182" s="10" t="s">
        <v>342</v>
      </c>
      <c r="F182" s="10" t="s">
        <v>335</v>
      </c>
      <c r="G182" s="10">
        <v>0.13650000000000001</v>
      </c>
      <c r="H182" s="10"/>
      <c r="I182" s="10">
        <v>1</v>
      </c>
    </row>
    <row r="183" spans="1:9" x14ac:dyDescent="0.25">
      <c r="A183" s="9">
        <v>4</v>
      </c>
      <c r="B183" s="9" t="s">
        <v>343</v>
      </c>
      <c r="C183" s="9" t="s">
        <v>35</v>
      </c>
      <c r="D183" s="9" t="s">
        <v>344</v>
      </c>
      <c r="E183" s="9" t="s">
        <v>345</v>
      </c>
      <c r="H183" s="9" t="s">
        <v>218</v>
      </c>
      <c r="I183" s="9">
        <v>1</v>
      </c>
    </row>
    <row r="184" spans="1:9" x14ac:dyDescent="0.25">
      <c r="A184" s="10">
        <v>5</v>
      </c>
      <c r="B184" s="10" t="s">
        <v>346</v>
      </c>
      <c r="C184" s="10" t="s">
        <v>25</v>
      </c>
      <c r="D184" s="10" t="s">
        <v>347</v>
      </c>
      <c r="E184" s="10" t="s">
        <v>347</v>
      </c>
      <c r="H184" s="10"/>
      <c r="I184" s="10">
        <v>1</v>
      </c>
    </row>
    <row r="185" spans="1:9" x14ac:dyDescent="0.25">
      <c r="A185" s="9">
        <v>6</v>
      </c>
      <c r="B185" s="9" t="s">
        <v>348</v>
      </c>
      <c r="C185" s="9" t="s">
        <v>25</v>
      </c>
      <c r="D185" s="9" t="s">
        <v>349</v>
      </c>
      <c r="E185" s="9" t="s">
        <v>350</v>
      </c>
      <c r="F185" s="9" t="s">
        <v>23</v>
      </c>
      <c r="G185" s="9">
        <v>6.1157700000000002E-2</v>
      </c>
      <c r="H185" s="9"/>
      <c r="I185" s="9">
        <v>1</v>
      </c>
    </row>
    <row r="186" spans="1:9" x14ac:dyDescent="0.25">
      <c r="A186" s="9">
        <v>6</v>
      </c>
      <c r="B186" s="9" t="s">
        <v>84</v>
      </c>
      <c r="C186" s="9" t="s">
        <v>25</v>
      </c>
      <c r="D186" s="9" t="s">
        <v>50</v>
      </c>
      <c r="E186" s="9" t="s">
        <v>50</v>
      </c>
      <c r="F186" s="9" t="s">
        <v>27</v>
      </c>
      <c r="G186" s="9"/>
      <c r="H186" s="9"/>
      <c r="I186" s="9">
        <v>3</v>
      </c>
    </row>
    <row r="187" spans="1:9" x14ac:dyDescent="0.25">
      <c r="A187" s="10">
        <v>5</v>
      </c>
      <c r="B187" s="10" t="s">
        <v>351</v>
      </c>
      <c r="C187" s="10" t="s">
        <v>35</v>
      </c>
      <c r="D187" s="10" t="s">
        <v>352</v>
      </c>
      <c r="E187" s="10" t="s">
        <v>141</v>
      </c>
      <c r="F187" s="10" t="s">
        <v>23</v>
      </c>
      <c r="G187" s="10">
        <v>2.4865700000000001E-2</v>
      </c>
      <c r="H187" s="10" t="s">
        <v>19</v>
      </c>
      <c r="I187" s="10">
        <v>1</v>
      </c>
    </row>
    <row r="188" spans="1:9" x14ac:dyDescent="0.25">
      <c r="A188" s="10">
        <v>5</v>
      </c>
      <c r="B188" s="10" t="s">
        <v>353</v>
      </c>
      <c r="C188" s="10" t="s">
        <v>35</v>
      </c>
      <c r="D188" s="10" t="s">
        <v>354</v>
      </c>
      <c r="E188" s="10" t="s">
        <v>355</v>
      </c>
      <c r="F188" s="10" t="s">
        <v>23</v>
      </c>
      <c r="G188" s="10">
        <v>2.4829199999999999E-2</v>
      </c>
      <c r="H188" s="10" t="s">
        <v>19</v>
      </c>
      <c r="I188" s="10">
        <v>1</v>
      </c>
    </row>
    <row r="189" spans="1:9" x14ac:dyDescent="0.25">
      <c r="A189" s="10">
        <v>5</v>
      </c>
      <c r="B189" s="10" t="s">
        <v>356</v>
      </c>
      <c r="C189" s="10" t="s">
        <v>35</v>
      </c>
      <c r="D189" s="10" t="s">
        <v>357</v>
      </c>
      <c r="E189" s="10" t="s">
        <v>357</v>
      </c>
      <c r="H189" s="10" t="s">
        <v>218</v>
      </c>
      <c r="I189" s="10">
        <v>1</v>
      </c>
    </row>
    <row r="190" spans="1:9" x14ac:dyDescent="0.25">
      <c r="A190" s="9">
        <v>6</v>
      </c>
      <c r="B190" s="9" t="s">
        <v>358</v>
      </c>
      <c r="C190" s="9" t="s">
        <v>35</v>
      </c>
      <c r="D190" s="9" t="s">
        <v>359</v>
      </c>
      <c r="E190" s="9" t="s">
        <v>360</v>
      </c>
      <c r="F190" s="9" t="s">
        <v>23</v>
      </c>
      <c r="G190" s="9">
        <v>6.1157700000000002E-2</v>
      </c>
      <c r="H190" s="9" t="s">
        <v>19</v>
      </c>
      <c r="I190" s="9">
        <v>1</v>
      </c>
    </row>
    <row r="191" spans="1:9" x14ac:dyDescent="0.25">
      <c r="A191" s="9">
        <v>6</v>
      </c>
      <c r="B191" s="9" t="s">
        <v>84</v>
      </c>
      <c r="C191" s="9" t="s">
        <v>25</v>
      </c>
      <c r="D191" s="9" t="s">
        <v>50</v>
      </c>
      <c r="E191" s="9" t="s">
        <v>50</v>
      </c>
      <c r="F191" s="9" t="s">
        <v>27</v>
      </c>
      <c r="G191" s="9"/>
      <c r="H191" s="9"/>
      <c r="I191" s="9">
        <v>3</v>
      </c>
    </row>
    <row r="192" spans="1:9" x14ac:dyDescent="0.25">
      <c r="A192" s="10">
        <v>5</v>
      </c>
      <c r="B192" s="10" t="s">
        <v>361</v>
      </c>
      <c r="C192" s="10" t="s">
        <v>35</v>
      </c>
      <c r="D192" s="10" t="s">
        <v>362</v>
      </c>
      <c r="E192" s="10" t="s">
        <v>363</v>
      </c>
      <c r="F192" s="10" t="s">
        <v>23</v>
      </c>
      <c r="G192" s="10">
        <v>5.9977900000000002E-3</v>
      </c>
      <c r="H192" s="10" t="s">
        <v>19</v>
      </c>
      <c r="I192" s="10">
        <v>1</v>
      </c>
    </row>
    <row r="193" spans="1:9" x14ac:dyDescent="0.25">
      <c r="A193" s="10">
        <v>5</v>
      </c>
      <c r="B193" s="10" t="s">
        <v>364</v>
      </c>
      <c r="C193" s="10" t="s">
        <v>35</v>
      </c>
      <c r="D193" s="10" t="s">
        <v>365</v>
      </c>
      <c r="E193" s="10" t="s">
        <v>366</v>
      </c>
      <c r="F193" s="10" t="s">
        <v>23</v>
      </c>
      <c r="G193" s="10">
        <v>5.9977900000000002E-3</v>
      </c>
      <c r="H193" s="10" t="s">
        <v>19</v>
      </c>
      <c r="I193" s="10">
        <v>1</v>
      </c>
    </row>
    <row r="194" spans="1:9" x14ac:dyDescent="0.25">
      <c r="A194" s="10">
        <v>5</v>
      </c>
      <c r="B194" s="10" t="s">
        <v>367</v>
      </c>
      <c r="C194" s="10" t="s">
        <v>35</v>
      </c>
      <c r="D194" s="10" t="s">
        <v>368</v>
      </c>
      <c r="E194" s="10" t="s">
        <v>368</v>
      </c>
      <c r="F194" s="10" t="s">
        <v>294</v>
      </c>
      <c r="G194" s="10">
        <v>0.209317</v>
      </c>
      <c r="H194" s="10" t="s">
        <v>218</v>
      </c>
      <c r="I194" s="10">
        <v>1</v>
      </c>
    </row>
    <row r="195" spans="1:9" x14ac:dyDescent="0.25">
      <c r="A195" s="10">
        <v>5</v>
      </c>
      <c r="B195" s="10" t="s">
        <v>369</v>
      </c>
      <c r="C195" s="10" t="s">
        <v>35</v>
      </c>
      <c r="D195" s="10" t="s">
        <v>370</v>
      </c>
      <c r="E195" s="10" t="s">
        <v>144</v>
      </c>
      <c r="F195" s="10" t="s">
        <v>23</v>
      </c>
      <c r="G195" s="10">
        <v>8.9041400000000007E-2</v>
      </c>
      <c r="H195" s="10" t="s">
        <v>19</v>
      </c>
      <c r="I195" s="10">
        <v>1</v>
      </c>
    </row>
    <row r="196" spans="1:9" x14ac:dyDescent="0.25">
      <c r="A196" s="9">
        <v>4</v>
      </c>
      <c r="B196" s="9" t="s">
        <v>371</v>
      </c>
      <c r="C196" s="9" t="s">
        <v>70</v>
      </c>
      <c r="D196" s="9" t="s">
        <v>372</v>
      </c>
      <c r="E196" s="9" t="s">
        <v>372</v>
      </c>
      <c r="H196" s="9" t="s">
        <v>218</v>
      </c>
      <c r="I196" s="9">
        <v>1</v>
      </c>
    </row>
    <row r="197" spans="1:9" x14ac:dyDescent="0.25">
      <c r="A197" s="10">
        <v>5</v>
      </c>
      <c r="B197" s="10" t="s">
        <v>373</v>
      </c>
      <c r="C197" s="10" t="s">
        <v>70</v>
      </c>
      <c r="D197" s="10" t="s">
        <v>374</v>
      </c>
      <c r="E197" s="10" t="s">
        <v>375</v>
      </c>
      <c r="F197" s="10" t="s">
        <v>335</v>
      </c>
      <c r="G197" s="10">
        <v>5.5232399999999996E-3</v>
      </c>
      <c r="H197" s="10" t="s">
        <v>218</v>
      </c>
      <c r="I197" s="10">
        <v>1</v>
      </c>
    </row>
    <row r="198" spans="1:9" x14ac:dyDescent="0.25">
      <c r="A198" s="10">
        <v>5</v>
      </c>
      <c r="B198" s="10" t="s">
        <v>376</v>
      </c>
      <c r="C198" s="10" t="s">
        <v>25</v>
      </c>
      <c r="D198" s="10" t="s">
        <v>332</v>
      </c>
      <c r="E198" s="10" t="s">
        <v>332</v>
      </c>
      <c r="H198" s="10"/>
      <c r="I198" s="10">
        <v>1</v>
      </c>
    </row>
    <row r="199" spans="1:9" x14ac:dyDescent="0.25">
      <c r="A199" s="9">
        <v>6</v>
      </c>
      <c r="B199" s="9" t="s">
        <v>377</v>
      </c>
      <c r="C199" s="9" t="s">
        <v>25</v>
      </c>
      <c r="D199" s="9" t="s">
        <v>378</v>
      </c>
      <c r="E199" s="9" t="s">
        <v>378</v>
      </c>
      <c r="F199" s="9" t="s">
        <v>335</v>
      </c>
      <c r="G199" s="9">
        <v>1.86838E-3</v>
      </c>
      <c r="H199" s="9"/>
      <c r="I199" s="9">
        <v>1</v>
      </c>
    </row>
    <row r="200" spans="1:9" x14ac:dyDescent="0.25">
      <c r="A200" s="9">
        <v>6</v>
      </c>
      <c r="B200" s="9" t="s">
        <v>379</v>
      </c>
      <c r="C200" s="9" t="s">
        <v>25</v>
      </c>
      <c r="D200" s="9" t="s">
        <v>380</v>
      </c>
      <c r="E200" s="9" t="s">
        <v>380</v>
      </c>
      <c r="F200" s="9" t="s">
        <v>381</v>
      </c>
      <c r="G200" s="9">
        <v>6.10573E-4</v>
      </c>
      <c r="H200" s="9"/>
      <c r="I200" s="9">
        <v>1</v>
      </c>
    </row>
    <row r="201" spans="1:9" x14ac:dyDescent="0.25">
      <c r="A201" s="9">
        <v>6</v>
      </c>
      <c r="B201" s="9" t="s">
        <v>382</v>
      </c>
      <c r="C201" s="9" t="s">
        <v>25</v>
      </c>
      <c r="D201" s="9" t="s">
        <v>383</v>
      </c>
      <c r="E201" s="9" t="s">
        <v>383</v>
      </c>
      <c r="F201" s="9" t="s">
        <v>335</v>
      </c>
      <c r="G201" s="9">
        <v>1.0934899999999999E-3</v>
      </c>
      <c r="H201" s="9"/>
      <c r="I201" s="9">
        <v>1</v>
      </c>
    </row>
    <row r="202" spans="1:9" x14ac:dyDescent="0.25">
      <c r="A202" s="9">
        <v>6</v>
      </c>
      <c r="B202" s="9" t="s">
        <v>384</v>
      </c>
      <c r="C202" s="9" t="s">
        <v>25</v>
      </c>
      <c r="D202" s="9" t="s">
        <v>334</v>
      </c>
      <c r="E202" s="9" t="s">
        <v>334</v>
      </c>
      <c r="F202" s="9" t="s">
        <v>335</v>
      </c>
      <c r="G202" s="9">
        <v>0.36265700000000001</v>
      </c>
      <c r="H202" s="9"/>
      <c r="I202" s="9">
        <v>1</v>
      </c>
    </row>
    <row r="203" spans="1:9" x14ac:dyDescent="0.25">
      <c r="A203" s="9">
        <v>6</v>
      </c>
      <c r="B203" s="9" t="s">
        <v>385</v>
      </c>
      <c r="C203" s="9" t="s">
        <v>25</v>
      </c>
      <c r="D203" s="9" t="s">
        <v>339</v>
      </c>
      <c r="E203" s="9" t="s">
        <v>339</v>
      </c>
      <c r="F203" s="9" t="s">
        <v>335</v>
      </c>
      <c r="G203" s="9">
        <v>0.72056299999999995</v>
      </c>
      <c r="H203" s="9"/>
      <c r="I203" s="9">
        <v>1</v>
      </c>
    </row>
    <row r="204" spans="1:9" x14ac:dyDescent="0.25">
      <c r="A204" s="9">
        <v>6</v>
      </c>
      <c r="B204" s="9" t="s">
        <v>386</v>
      </c>
      <c r="C204" s="9" t="s">
        <v>25</v>
      </c>
      <c r="D204" s="9" t="s">
        <v>337</v>
      </c>
      <c r="E204" s="9" t="s">
        <v>337</v>
      </c>
      <c r="F204" s="9" t="s">
        <v>335</v>
      </c>
      <c r="G204" s="9">
        <v>0.35534399999999999</v>
      </c>
      <c r="H204" s="9"/>
      <c r="I204" s="9">
        <v>1</v>
      </c>
    </row>
    <row r="205" spans="1:9" x14ac:dyDescent="0.25">
      <c r="A205" s="9">
        <v>6</v>
      </c>
      <c r="B205" s="9" t="s">
        <v>387</v>
      </c>
      <c r="C205" s="9" t="s">
        <v>25</v>
      </c>
      <c r="D205" s="9" t="s">
        <v>341</v>
      </c>
      <c r="E205" s="9" t="s">
        <v>341</v>
      </c>
      <c r="F205" s="9" t="s">
        <v>335</v>
      </c>
      <c r="G205" s="9">
        <v>1.37015</v>
      </c>
      <c r="H205" s="9"/>
      <c r="I205" s="9">
        <v>1</v>
      </c>
    </row>
    <row r="206" spans="1:9" x14ac:dyDescent="0.25">
      <c r="A206" s="9">
        <v>4</v>
      </c>
      <c r="B206" s="9" t="s">
        <v>388</v>
      </c>
      <c r="C206" s="9" t="s">
        <v>35</v>
      </c>
      <c r="D206" s="9" t="s">
        <v>389</v>
      </c>
      <c r="E206" s="9" t="s">
        <v>390</v>
      </c>
      <c r="F206" s="9" t="s">
        <v>391</v>
      </c>
      <c r="G206" s="9">
        <v>2.56977E-2</v>
      </c>
      <c r="H206" s="9" t="s">
        <v>19</v>
      </c>
      <c r="I206" s="9">
        <v>2</v>
      </c>
    </row>
    <row r="207" spans="1:9" x14ac:dyDescent="0.25">
      <c r="A207" s="9">
        <v>4</v>
      </c>
      <c r="B207" s="9" t="s">
        <v>392</v>
      </c>
      <c r="C207" s="9" t="s">
        <v>35</v>
      </c>
      <c r="D207" s="9"/>
      <c r="E207" s="9" t="s">
        <v>9</v>
      </c>
      <c r="F207" s="9" t="s">
        <v>27</v>
      </c>
      <c r="G207" s="9"/>
      <c r="H207" s="9"/>
      <c r="I207" s="9">
        <v>6</v>
      </c>
    </row>
    <row r="208" spans="1:9" x14ac:dyDescent="0.25">
      <c r="A208" s="9">
        <v>4</v>
      </c>
      <c r="B208" s="9" t="s">
        <v>10</v>
      </c>
      <c r="C208" s="9" t="s">
        <v>25</v>
      </c>
      <c r="D208" s="9"/>
      <c r="E208" s="9" t="s">
        <v>9</v>
      </c>
      <c r="F208" s="9" t="s">
        <v>27</v>
      </c>
      <c r="G208" s="9"/>
      <c r="H208" s="9"/>
      <c r="I208" s="9">
        <v>6</v>
      </c>
    </row>
    <row r="209" spans="1:9" x14ac:dyDescent="0.25">
      <c r="A209" s="10">
        <v>3</v>
      </c>
      <c r="B209" s="10" t="s">
        <v>393</v>
      </c>
      <c r="C209" s="10" t="s">
        <v>35</v>
      </c>
      <c r="D209" s="10" t="s">
        <v>394</v>
      </c>
      <c r="E209" s="10" t="s">
        <v>330</v>
      </c>
      <c r="H209" s="10" t="s">
        <v>218</v>
      </c>
      <c r="I209" s="10">
        <v>1</v>
      </c>
    </row>
    <row r="210" spans="1:9" x14ac:dyDescent="0.25">
      <c r="A210" s="9">
        <v>4</v>
      </c>
      <c r="B210" s="9" t="s">
        <v>395</v>
      </c>
      <c r="C210" s="9" t="s">
        <v>25</v>
      </c>
      <c r="D210" s="9" t="s">
        <v>332</v>
      </c>
      <c r="E210" s="9" t="s">
        <v>332</v>
      </c>
      <c r="H210" s="9"/>
      <c r="I210" s="9">
        <v>1</v>
      </c>
    </row>
    <row r="211" spans="1:9" x14ac:dyDescent="0.25">
      <c r="A211" s="10">
        <v>5</v>
      </c>
      <c r="B211" s="10" t="s">
        <v>396</v>
      </c>
      <c r="C211" s="10" t="s">
        <v>25</v>
      </c>
      <c r="D211" s="10" t="s">
        <v>334</v>
      </c>
      <c r="E211" s="10" t="s">
        <v>334</v>
      </c>
      <c r="F211" s="10" t="s">
        <v>335</v>
      </c>
      <c r="G211" s="10">
        <v>0.32769199999999998</v>
      </c>
      <c r="H211" s="10"/>
      <c r="I211" s="10">
        <v>1</v>
      </c>
    </row>
    <row r="212" spans="1:9" x14ac:dyDescent="0.25">
      <c r="A212" s="10">
        <v>5</v>
      </c>
      <c r="B212" s="10" t="s">
        <v>397</v>
      </c>
      <c r="C212" s="10" t="s">
        <v>25</v>
      </c>
      <c r="D212" s="10" t="s">
        <v>337</v>
      </c>
      <c r="E212" s="10" t="s">
        <v>337</v>
      </c>
      <c r="F212" s="10" t="s">
        <v>335</v>
      </c>
      <c r="G212" s="10">
        <v>0.30796499999999999</v>
      </c>
      <c r="H212" s="10"/>
      <c r="I212" s="10">
        <v>1</v>
      </c>
    </row>
    <row r="213" spans="1:9" x14ac:dyDescent="0.25">
      <c r="A213" s="10">
        <v>5</v>
      </c>
      <c r="B213" s="10" t="s">
        <v>398</v>
      </c>
      <c r="C213" s="10" t="s">
        <v>25</v>
      </c>
      <c r="D213" s="10" t="s">
        <v>339</v>
      </c>
      <c r="E213" s="10" t="s">
        <v>339</v>
      </c>
      <c r="F213" s="10" t="s">
        <v>335</v>
      </c>
      <c r="G213" s="10">
        <v>0.62309199999999998</v>
      </c>
      <c r="H213" s="10"/>
      <c r="I213" s="10">
        <v>1</v>
      </c>
    </row>
    <row r="214" spans="1:9" x14ac:dyDescent="0.25">
      <c r="A214" s="10">
        <v>5</v>
      </c>
      <c r="B214" s="10" t="s">
        <v>399</v>
      </c>
      <c r="C214" s="10" t="s">
        <v>25</v>
      </c>
      <c r="D214" s="10" t="s">
        <v>341</v>
      </c>
      <c r="E214" s="10" t="s">
        <v>342</v>
      </c>
      <c r="F214" s="10" t="s">
        <v>335</v>
      </c>
      <c r="G214" s="10">
        <v>0.1179</v>
      </c>
      <c r="H214" s="10"/>
      <c r="I214" s="10">
        <v>1</v>
      </c>
    </row>
    <row r="215" spans="1:9" ht="120" x14ac:dyDescent="0.25">
      <c r="A215" s="9">
        <v>4</v>
      </c>
      <c r="B215" s="9" t="s">
        <v>400</v>
      </c>
      <c r="C215" s="9" t="s">
        <v>35</v>
      </c>
      <c r="D215" s="11" t="s">
        <v>401</v>
      </c>
      <c r="E215" s="9" t="s">
        <v>345</v>
      </c>
      <c r="H215" s="9" t="s">
        <v>218</v>
      </c>
      <c r="I215" s="9">
        <v>1</v>
      </c>
    </row>
    <row r="216" spans="1:9" x14ac:dyDescent="0.25">
      <c r="A216" s="10">
        <v>5</v>
      </c>
      <c r="B216" s="10" t="s">
        <v>402</v>
      </c>
      <c r="C216" s="10" t="s">
        <v>25</v>
      </c>
      <c r="D216" s="10" t="s">
        <v>347</v>
      </c>
      <c r="E216" s="10" t="s">
        <v>403</v>
      </c>
      <c r="H216" s="10"/>
      <c r="I216" s="10">
        <v>1</v>
      </c>
    </row>
    <row r="217" spans="1:9" x14ac:dyDescent="0.25">
      <c r="A217" s="9">
        <v>6</v>
      </c>
      <c r="B217" s="9" t="s">
        <v>404</v>
      </c>
      <c r="C217" s="9" t="s">
        <v>25</v>
      </c>
      <c r="D217" s="9" t="s">
        <v>405</v>
      </c>
      <c r="E217" s="9" t="s">
        <v>406</v>
      </c>
      <c r="F217" s="9" t="s">
        <v>23</v>
      </c>
      <c r="G217" s="9">
        <v>4.4007699999999997E-2</v>
      </c>
      <c r="H217" s="9"/>
      <c r="I217" s="9">
        <v>1</v>
      </c>
    </row>
    <row r="218" spans="1:9" x14ac:dyDescent="0.25">
      <c r="A218" s="9">
        <v>6</v>
      </c>
      <c r="B218" s="9" t="s">
        <v>84</v>
      </c>
      <c r="C218" s="9" t="s">
        <v>25</v>
      </c>
      <c r="D218" s="9" t="s">
        <v>50</v>
      </c>
      <c r="E218" s="9" t="s">
        <v>50</v>
      </c>
      <c r="F218" s="9" t="s">
        <v>27</v>
      </c>
      <c r="G218" s="9"/>
      <c r="H218" s="9"/>
      <c r="I218" s="9">
        <v>3</v>
      </c>
    </row>
    <row r="219" spans="1:9" x14ac:dyDescent="0.25">
      <c r="A219" s="10">
        <v>5</v>
      </c>
      <c r="B219" s="10" t="s">
        <v>407</v>
      </c>
      <c r="C219" s="10" t="s">
        <v>35</v>
      </c>
      <c r="D219" s="10" t="s">
        <v>368</v>
      </c>
      <c r="E219" s="10" t="s">
        <v>368</v>
      </c>
      <c r="F219" s="10" t="s">
        <v>294</v>
      </c>
      <c r="G219" s="10">
        <v>0.23338400000000001</v>
      </c>
      <c r="H219" s="10" t="s">
        <v>289</v>
      </c>
      <c r="I219" s="10">
        <v>1</v>
      </c>
    </row>
    <row r="220" spans="1:9" ht="75" x14ac:dyDescent="0.25">
      <c r="A220" s="10">
        <v>5</v>
      </c>
      <c r="B220" s="10" t="s">
        <v>408</v>
      </c>
      <c r="C220" s="10" t="s">
        <v>35</v>
      </c>
      <c r="D220" s="12" t="s">
        <v>409</v>
      </c>
      <c r="E220" s="10" t="s">
        <v>141</v>
      </c>
      <c r="F220" s="10" t="s">
        <v>23</v>
      </c>
      <c r="G220" s="10">
        <v>1.9933099999999999E-2</v>
      </c>
      <c r="H220" s="10" t="s">
        <v>19</v>
      </c>
      <c r="I220" s="10">
        <v>1</v>
      </c>
    </row>
    <row r="221" spans="1:9" x14ac:dyDescent="0.25">
      <c r="A221" s="10">
        <v>5</v>
      </c>
      <c r="B221" s="10" t="s">
        <v>410</v>
      </c>
      <c r="C221" s="10" t="s">
        <v>35</v>
      </c>
      <c r="D221" s="10" t="s">
        <v>354</v>
      </c>
      <c r="E221" s="10" t="s">
        <v>355</v>
      </c>
      <c r="F221" s="10" t="s">
        <v>23</v>
      </c>
      <c r="G221" s="10">
        <v>2.0409299999999998E-2</v>
      </c>
      <c r="H221" s="10" t="s">
        <v>19</v>
      </c>
      <c r="I221" s="10">
        <v>1</v>
      </c>
    </row>
    <row r="222" spans="1:9" x14ac:dyDescent="0.25">
      <c r="A222" s="10">
        <v>5</v>
      </c>
      <c r="B222" s="10" t="s">
        <v>411</v>
      </c>
      <c r="C222" s="10" t="s">
        <v>35</v>
      </c>
      <c r="D222" s="10" t="s">
        <v>347</v>
      </c>
      <c r="E222" s="10" t="s">
        <v>347</v>
      </c>
      <c r="H222" s="10" t="s">
        <v>218</v>
      </c>
      <c r="I222" s="10">
        <v>1</v>
      </c>
    </row>
    <row r="223" spans="1:9" x14ac:dyDescent="0.25">
      <c r="A223" s="9">
        <v>6</v>
      </c>
      <c r="B223" s="9" t="s">
        <v>412</v>
      </c>
      <c r="C223" s="9" t="s">
        <v>35</v>
      </c>
      <c r="D223" s="9" t="s">
        <v>350</v>
      </c>
      <c r="E223" s="9" t="s">
        <v>350</v>
      </c>
      <c r="F223" s="9" t="s">
        <v>23</v>
      </c>
      <c r="G223" s="9">
        <v>4.4007699999999997E-2</v>
      </c>
      <c r="H223" s="9" t="s">
        <v>19</v>
      </c>
      <c r="I223" s="9">
        <v>1</v>
      </c>
    </row>
    <row r="224" spans="1:9" x14ac:dyDescent="0.25">
      <c r="A224" s="9">
        <v>6</v>
      </c>
      <c r="B224" s="9" t="s">
        <v>84</v>
      </c>
      <c r="C224" s="9" t="s">
        <v>25</v>
      </c>
      <c r="D224" s="9" t="s">
        <v>50</v>
      </c>
      <c r="E224" s="9" t="s">
        <v>50</v>
      </c>
      <c r="F224" s="9" t="s">
        <v>27</v>
      </c>
      <c r="G224" s="9"/>
      <c r="H224" s="9"/>
      <c r="I224" s="9">
        <v>3</v>
      </c>
    </row>
    <row r="225" spans="1:9" x14ac:dyDescent="0.25">
      <c r="A225" s="10">
        <v>5</v>
      </c>
      <c r="B225" s="10" t="s">
        <v>413</v>
      </c>
      <c r="C225" s="10" t="s">
        <v>35</v>
      </c>
      <c r="D225" s="10" t="s">
        <v>414</v>
      </c>
      <c r="E225" s="10" t="s">
        <v>363</v>
      </c>
      <c r="F225" s="10" t="s">
        <v>23</v>
      </c>
      <c r="G225" s="10">
        <v>5.1763199999999999E-3</v>
      </c>
      <c r="H225" s="10" t="s">
        <v>19</v>
      </c>
      <c r="I225" s="10">
        <v>1</v>
      </c>
    </row>
    <row r="226" spans="1:9" x14ac:dyDescent="0.25">
      <c r="A226" s="10">
        <v>5</v>
      </c>
      <c r="B226" s="10" t="s">
        <v>367</v>
      </c>
      <c r="C226" s="10" t="s">
        <v>35</v>
      </c>
      <c r="D226" s="10" t="s">
        <v>368</v>
      </c>
      <c r="E226" s="10" t="s">
        <v>368</v>
      </c>
      <c r="F226" s="10" t="s">
        <v>294</v>
      </c>
      <c r="G226" s="10">
        <v>0.209317</v>
      </c>
      <c r="H226" s="10" t="s">
        <v>218</v>
      </c>
      <c r="I226" s="10">
        <v>1</v>
      </c>
    </row>
    <row r="227" spans="1:9" x14ac:dyDescent="0.25">
      <c r="A227" s="10">
        <v>5</v>
      </c>
      <c r="B227" s="10" t="s">
        <v>415</v>
      </c>
      <c r="C227" s="10" t="s">
        <v>35</v>
      </c>
      <c r="D227" s="10" t="s">
        <v>368</v>
      </c>
      <c r="E227" s="10" t="s">
        <v>368</v>
      </c>
      <c r="F227" s="10" t="s">
        <v>294</v>
      </c>
      <c r="G227" s="10">
        <v>0.16674600000000001</v>
      </c>
      <c r="H227" s="10" t="s">
        <v>218</v>
      </c>
      <c r="I227" s="10">
        <v>1</v>
      </c>
    </row>
    <row r="228" spans="1:9" x14ac:dyDescent="0.25">
      <c r="A228" s="10">
        <v>5</v>
      </c>
      <c r="B228" s="10" t="s">
        <v>416</v>
      </c>
      <c r="C228" s="10" t="s">
        <v>35</v>
      </c>
      <c r="D228" s="10" t="s">
        <v>417</v>
      </c>
      <c r="E228" s="10" t="s">
        <v>418</v>
      </c>
      <c r="F228" s="10" t="s">
        <v>23</v>
      </c>
      <c r="G228" s="10">
        <v>5.1763199999999999E-3</v>
      </c>
      <c r="H228" s="10" t="s">
        <v>19</v>
      </c>
      <c r="I228" s="10">
        <v>1</v>
      </c>
    </row>
    <row r="229" spans="1:9" x14ac:dyDescent="0.25">
      <c r="A229" s="10">
        <v>5</v>
      </c>
      <c r="B229" s="10" t="s">
        <v>419</v>
      </c>
      <c r="C229" s="10" t="s">
        <v>35</v>
      </c>
      <c r="D229" s="10" t="s">
        <v>370</v>
      </c>
      <c r="E229" s="10" t="s">
        <v>144</v>
      </c>
      <c r="F229" s="10" t="s">
        <v>23</v>
      </c>
      <c r="G229" s="10">
        <v>7.7575400000000003E-2</v>
      </c>
      <c r="H229" s="10" t="s">
        <v>19</v>
      </c>
      <c r="I229" s="10">
        <v>1</v>
      </c>
    </row>
    <row r="230" spans="1:9" x14ac:dyDescent="0.25">
      <c r="A230" s="9">
        <v>4</v>
      </c>
      <c r="B230" s="9" t="s">
        <v>420</v>
      </c>
      <c r="C230" s="9" t="s">
        <v>70</v>
      </c>
      <c r="D230" s="9" t="s">
        <v>421</v>
      </c>
      <c r="E230" s="9" t="s">
        <v>421</v>
      </c>
      <c r="H230" s="9" t="s">
        <v>218</v>
      </c>
      <c r="I230" s="9">
        <v>1</v>
      </c>
    </row>
    <row r="231" spans="1:9" x14ac:dyDescent="0.25">
      <c r="A231" s="10">
        <v>5</v>
      </c>
      <c r="B231" s="10" t="s">
        <v>373</v>
      </c>
      <c r="C231" s="10" t="s">
        <v>70</v>
      </c>
      <c r="D231" s="10" t="s">
        <v>374</v>
      </c>
      <c r="E231" s="10" t="s">
        <v>375</v>
      </c>
      <c r="F231" s="10" t="s">
        <v>335</v>
      </c>
      <c r="G231" s="10">
        <v>5.5232399999999996E-3</v>
      </c>
      <c r="H231" s="10" t="s">
        <v>218</v>
      </c>
      <c r="I231" s="10">
        <v>1</v>
      </c>
    </row>
    <row r="232" spans="1:9" x14ac:dyDescent="0.25">
      <c r="A232" s="10">
        <v>5</v>
      </c>
      <c r="B232" s="10" t="s">
        <v>422</v>
      </c>
      <c r="C232" s="10" t="s">
        <v>25</v>
      </c>
      <c r="D232" s="10" t="s">
        <v>332</v>
      </c>
      <c r="E232" s="10" t="s">
        <v>332</v>
      </c>
      <c r="H232" s="10"/>
      <c r="I232" s="10">
        <v>1</v>
      </c>
    </row>
    <row r="233" spans="1:9" x14ac:dyDescent="0.25">
      <c r="A233" s="9">
        <v>6</v>
      </c>
      <c r="B233" s="9" t="s">
        <v>377</v>
      </c>
      <c r="C233" s="9" t="s">
        <v>25</v>
      </c>
      <c r="D233" s="9" t="s">
        <v>378</v>
      </c>
      <c r="E233" s="9" t="s">
        <v>378</v>
      </c>
      <c r="F233" s="9" t="s">
        <v>335</v>
      </c>
      <c r="G233" s="9">
        <v>1.86838E-3</v>
      </c>
      <c r="H233" s="9"/>
      <c r="I233" s="9">
        <v>1</v>
      </c>
    </row>
    <row r="234" spans="1:9" x14ac:dyDescent="0.25">
      <c r="A234" s="9">
        <v>6</v>
      </c>
      <c r="B234" s="9" t="s">
        <v>379</v>
      </c>
      <c r="C234" s="9" t="s">
        <v>25</v>
      </c>
      <c r="D234" s="9" t="s">
        <v>380</v>
      </c>
      <c r="E234" s="9" t="s">
        <v>380</v>
      </c>
      <c r="F234" s="9" t="s">
        <v>381</v>
      </c>
      <c r="G234" s="9">
        <v>6.10573E-4</v>
      </c>
      <c r="H234" s="9"/>
      <c r="I234" s="9">
        <v>1</v>
      </c>
    </row>
    <row r="235" spans="1:9" x14ac:dyDescent="0.25">
      <c r="A235" s="9">
        <v>6</v>
      </c>
      <c r="B235" s="9" t="s">
        <v>382</v>
      </c>
      <c r="C235" s="9" t="s">
        <v>25</v>
      </c>
      <c r="D235" s="9" t="s">
        <v>383</v>
      </c>
      <c r="E235" s="9" t="s">
        <v>383</v>
      </c>
      <c r="F235" s="9" t="s">
        <v>335</v>
      </c>
      <c r="G235" s="9">
        <v>1.0934899999999999E-3</v>
      </c>
      <c r="H235" s="9"/>
      <c r="I235" s="9">
        <v>1</v>
      </c>
    </row>
    <row r="236" spans="1:9" x14ac:dyDescent="0.25">
      <c r="A236" s="9">
        <v>6</v>
      </c>
      <c r="B236" s="9" t="s">
        <v>423</v>
      </c>
      <c r="C236" s="9" t="s">
        <v>25</v>
      </c>
      <c r="D236" s="9" t="s">
        <v>334</v>
      </c>
      <c r="E236" s="9" t="s">
        <v>334</v>
      </c>
      <c r="F236" s="9" t="s">
        <v>335</v>
      </c>
      <c r="G236" s="9">
        <v>0.31324000000000002</v>
      </c>
      <c r="H236" s="9"/>
      <c r="I236" s="9">
        <v>1</v>
      </c>
    </row>
    <row r="237" spans="1:9" x14ac:dyDescent="0.25">
      <c r="A237" s="9">
        <v>6</v>
      </c>
      <c r="B237" s="9" t="s">
        <v>424</v>
      </c>
      <c r="C237" s="9" t="s">
        <v>25</v>
      </c>
      <c r="D237" s="9" t="s">
        <v>339</v>
      </c>
      <c r="E237" s="9" t="s">
        <v>339</v>
      </c>
      <c r="F237" s="9" t="s">
        <v>335</v>
      </c>
      <c r="G237" s="9">
        <v>0.62309199999999998</v>
      </c>
      <c r="H237" s="9"/>
      <c r="I237" s="9">
        <v>1</v>
      </c>
    </row>
    <row r="238" spans="1:9" x14ac:dyDescent="0.25">
      <c r="A238" s="9">
        <v>6</v>
      </c>
      <c r="B238" s="9" t="s">
        <v>425</v>
      </c>
      <c r="C238" s="9" t="s">
        <v>25</v>
      </c>
      <c r="D238" s="9" t="s">
        <v>337</v>
      </c>
      <c r="E238" s="9" t="s">
        <v>337</v>
      </c>
      <c r="F238" s="9" t="s">
        <v>335</v>
      </c>
      <c r="G238" s="9">
        <v>0.30796499999999999</v>
      </c>
      <c r="H238" s="9"/>
      <c r="I238" s="9">
        <v>1</v>
      </c>
    </row>
    <row r="239" spans="1:9" x14ac:dyDescent="0.25">
      <c r="A239" s="9">
        <v>6</v>
      </c>
      <c r="B239" s="9" t="s">
        <v>426</v>
      </c>
      <c r="C239" s="9" t="s">
        <v>25</v>
      </c>
      <c r="D239" s="9" t="s">
        <v>341</v>
      </c>
      <c r="E239" s="9" t="s">
        <v>341</v>
      </c>
      <c r="F239" s="9" t="s">
        <v>335</v>
      </c>
      <c r="G239" s="9">
        <v>1.1862699999999999</v>
      </c>
      <c r="H239" s="9"/>
      <c r="I239" s="9">
        <v>1</v>
      </c>
    </row>
    <row r="240" spans="1:9" x14ac:dyDescent="0.25">
      <c r="A240" s="9">
        <v>4</v>
      </c>
      <c r="B240" s="9" t="s">
        <v>427</v>
      </c>
      <c r="C240" s="9" t="s">
        <v>35</v>
      </c>
      <c r="D240" s="9" t="s">
        <v>389</v>
      </c>
      <c r="E240" s="9" t="s">
        <v>390</v>
      </c>
      <c r="F240" s="9" t="s">
        <v>391</v>
      </c>
      <c r="G240" s="9">
        <v>2.2257699999999998E-2</v>
      </c>
      <c r="H240" s="9" t="s">
        <v>165</v>
      </c>
      <c r="I240" s="9">
        <v>2</v>
      </c>
    </row>
    <row r="241" spans="1:9" x14ac:dyDescent="0.25">
      <c r="A241" s="9">
        <v>4</v>
      </c>
      <c r="B241" s="9" t="s">
        <v>392</v>
      </c>
      <c r="C241" s="9" t="s">
        <v>35</v>
      </c>
      <c r="D241" s="9"/>
      <c r="E241" s="9" t="s">
        <v>9</v>
      </c>
      <c r="F241" s="9" t="s">
        <v>27</v>
      </c>
      <c r="G241" s="9"/>
      <c r="H241" s="9"/>
      <c r="I241" s="9">
        <v>6</v>
      </c>
    </row>
    <row r="242" spans="1:9" x14ac:dyDescent="0.25">
      <c r="A242" s="9">
        <v>4</v>
      </c>
      <c r="B242" s="9" t="s">
        <v>10</v>
      </c>
      <c r="C242" s="9" t="s">
        <v>25</v>
      </c>
      <c r="D242" s="9"/>
      <c r="E242" s="9" t="s">
        <v>9</v>
      </c>
      <c r="F242" s="9" t="s">
        <v>27</v>
      </c>
      <c r="G242" s="9"/>
      <c r="H242" s="9"/>
      <c r="I242" s="9">
        <v>6</v>
      </c>
    </row>
    <row r="243" spans="1:9" x14ac:dyDescent="0.25">
      <c r="A243" s="10">
        <v>3</v>
      </c>
      <c r="B243" s="10" t="s">
        <v>428</v>
      </c>
      <c r="C243" s="10" t="s">
        <v>17</v>
      </c>
      <c r="D243" s="10" t="s">
        <v>429</v>
      </c>
      <c r="E243" s="10" t="s">
        <v>430</v>
      </c>
      <c r="H243" s="10" t="s">
        <v>223</v>
      </c>
      <c r="I243" s="10">
        <v>1</v>
      </c>
    </row>
    <row r="244" spans="1:9" x14ac:dyDescent="0.25">
      <c r="A244" s="9">
        <v>4</v>
      </c>
      <c r="B244" s="9" t="s">
        <v>431</v>
      </c>
      <c r="C244" s="9" t="s">
        <v>25</v>
      </c>
      <c r="D244" s="9" t="s">
        <v>432</v>
      </c>
      <c r="E244" s="9" t="s">
        <v>432</v>
      </c>
      <c r="F244" s="9"/>
      <c r="G244" s="9">
        <v>0</v>
      </c>
      <c r="H244" s="9"/>
      <c r="I244" s="9">
        <v>1</v>
      </c>
    </row>
    <row r="245" spans="1:9" x14ac:dyDescent="0.25">
      <c r="A245" s="9">
        <v>4</v>
      </c>
      <c r="B245" s="9" t="s">
        <v>433</v>
      </c>
      <c r="C245" s="9" t="s">
        <v>17</v>
      </c>
      <c r="D245" s="9" t="s">
        <v>434</v>
      </c>
      <c r="E245" s="9" t="s">
        <v>435</v>
      </c>
      <c r="F245" s="9" t="s">
        <v>292</v>
      </c>
      <c r="G245" s="9">
        <v>8.4753499999999996E-2</v>
      </c>
      <c r="H245" s="9" t="s">
        <v>223</v>
      </c>
      <c r="I245" s="9">
        <v>1</v>
      </c>
    </row>
    <row r="246" spans="1:9" x14ac:dyDescent="0.25">
      <c r="A246" s="9">
        <v>4</v>
      </c>
      <c r="B246" s="9" t="s">
        <v>436</v>
      </c>
      <c r="C246" s="9" t="s">
        <v>25</v>
      </c>
      <c r="D246" s="9"/>
      <c r="E246" s="9" t="s">
        <v>437</v>
      </c>
      <c r="F246" s="9"/>
      <c r="G246" s="9">
        <v>0</v>
      </c>
      <c r="H246" s="9"/>
      <c r="I246" s="9">
        <v>1</v>
      </c>
    </row>
    <row r="247" spans="1:9" x14ac:dyDescent="0.25">
      <c r="A247" s="10">
        <v>3</v>
      </c>
      <c r="B247" s="10" t="s">
        <v>438</v>
      </c>
      <c r="C247" s="10" t="s">
        <v>70</v>
      </c>
      <c r="D247" s="10" t="s">
        <v>439</v>
      </c>
      <c r="E247" s="10" t="s">
        <v>440</v>
      </c>
      <c r="H247" s="10" t="s">
        <v>165</v>
      </c>
      <c r="I247" s="10">
        <v>1</v>
      </c>
    </row>
    <row r="248" spans="1:9" x14ac:dyDescent="0.25">
      <c r="A248" s="9">
        <v>4</v>
      </c>
      <c r="B248" s="9" t="s">
        <v>441</v>
      </c>
      <c r="C248" s="9" t="s">
        <v>70</v>
      </c>
      <c r="D248" s="9" t="s">
        <v>442</v>
      </c>
      <c r="E248" s="9" t="s">
        <v>443</v>
      </c>
      <c r="F248" s="9" t="s">
        <v>292</v>
      </c>
      <c r="G248" s="9">
        <v>0.58598499999999998</v>
      </c>
      <c r="H248" s="9" t="s">
        <v>165</v>
      </c>
      <c r="I248" s="9">
        <v>1</v>
      </c>
    </row>
    <row r="249" spans="1:9" x14ac:dyDescent="0.25">
      <c r="A249" s="9">
        <v>4</v>
      </c>
      <c r="B249" s="9" t="s">
        <v>444</v>
      </c>
      <c r="C249" s="9" t="s">
        <v>25</v>
      </c>
      <c r="D249" s="9"/>
      <c r="E249" s="9" t="s">
        <v>445</v>
      </c>
      <c r="F249" s="9" t="s">
        <v>176</v>
      </c>
      <c r="G249" s="9"/>
      <c r="H249" s="9"/>
      <c r="I249" s="9">
        <v>7</v>
      </c>
    </row>
    <row r="250" spans="1:9" x14ac:dyDescent="0.25">
      <c r="A250" s="10">
        <v>3</v>
      </c>
      <c r="B250" s="10" t="s">
        <v>446</v>
      </c>
      <c r="C250" s="10" t="s">
        <v>78</v>
      </c>
      <c r="D250" s="10" t="s">
        <v>447</v>
      </c>
      <c r="E250" s="10" t="s">
        <v>447</v>
      </c>
      <c r="H250" s="10" t="s">
        <v>150</v>
      </c>
      <c r="I250" s="10">
        <v>1</v>
      </c>
    </row>
    <row r="251" spans="1:9" x14ac:dyDescent="0.25">
      <c r="A251" s="9">
        <v>4</v>
      </c>
      <c r="B251" s="9" t="s">
        <v>448</v>
      </c>
      <c r="C251" s="9" t="s">
        <v>78</v>
      </c>
      <c r="D251" s="9" t="s">
        <v>449</v>
      </c>
      <c r="E251" s="9" t="s">
        <v>443</v>
      </c>
      <c r="F251" s="9" t="s">
        <v>292</v>
      </c>
      <c r="G251" s="9">
        <v>1.8724799999999999</v>
      </c>
      <c r="H251" s="9" t="s">
        <v>150</v>
      </c>
      <c r="I251" s="9">
        <v>1</v>
      </c>
    </row>
    <row r="252" spans="1:9" x14ac:dyDescent="0.25">
      <c r="A252" s="9">
        <v>4</v>
      </c>
      <c r="B252" s="9" t="s">
        <v>444</v>
      </c>
      <c r="C252" s="9" t="s">
        <v>25</v>
      </c>
      <c r="D252" s="9"/>
      <c r="E252" s="9" t="s">
        <v>445</v>
      </c>
      <c r="F252" s="9" t="s">
        <v>176</v>
      </c>
      <c r="G252" s="9"/>
      <c r="H252" s="9"/>
      <c r="I252" s="9">
        <v>7</v>
      </c>
    </row>
    <row r="253" spans="1:9" x14ac:dyDescent="0.25">
      <c r="A253" s="10">
        <v>3</v>
      </c>
      <c r="B253" s="10" t="s">
        <v>450</v>
      </c>
      <c r="C253" s="10" t="s">
        <v>227</v>
      </c>
      <c r="D253" s="10" t="s">
        <v>451</v>
      </c>
      <c r="E253" s="10" t="s">
        <v>452</v>
      </c>
      <c r="H253" s="10" t="s">
        <v>218</v>
      </c>
      <c r="I253" s="10">
        <v>1</v>
      </c>
    </row>
    <row r="254" spans="1:9" x14ac:dyDescent="0.25">
      <c r="A254" s="9">
        <v>4</v>
      </c>
      <c r="B254" s="9" t="s">
        <v>453</v>
      </c>
      <c r="C254" s="9" t="s">
        <v>106</v>
      </c>
      <c r="D254" s="9" t="s">
        <v>451</v>
      </c>
      <c r="E254" s="9" t="s">
        <v>452</v>
      </c>
      <c r="H254" s="9" t="s">
        <v>19</v>
      </c>
      <c r="I254" s="9">
        <v>1</v>
      </c>
    </row>
    <row r="255" spans="1:9" x14ac:dyDescent="0.25">
      <c r="A255" s="10">
        <v>5</v>
      </c>
      <c r="B255" s="10" t="s">
        <v>454</v>
      </c>
      <c r="C255" s="10" t="s">
        <v>106</v>
      </c>
      <c r="D255" s="10" t="s">
        <v>220</v>
      </c>
      <c r="E255" s="10" t="s">
        <v>22</v>
      </c>
      <c r="F255" s="10" t="s">
        <v>80</v>
      </c>
      <c r="G255" s="10">
        <v>6.6117999999999996E-2</v>
      </c>
      <c r="H255" s="10" t="s">
        <v>19</v>
      </c>
      <c r="I255" s="10">
        <v>1</v>
      </c>
    </row>
    <row r="256" spans="1:9" x14ac:dyDescent="0.25">
      <c r="A256" s="10">
        <v>5</v>
      </c>
      <c r="B256" s="10" t="s">
        <v>83</v>
      </c>
      <c r="C256" s="10" t="s">
        <v>25</v>
      </c>
      <c r="D256" s="10" t="s">
        <v>57</v>
      </c>
      <c r="E256" s="10" t="s">
        <v>57</v>
      </c>
      <c r="F256" s="10" t="s">
        <v>27</v>
      </c>
      <c r="G256" s="10">
        <v>1.78746E-3</v>
      </c>
      <c r="H256" s="10"/>
      <c r="I256" s="10">
        <v>4</v>
      </c>
    </row>
    <row r="257" spans="1:9" x14ac:dyDescent="0.25">
      <c r="A257" s="10">
        <v>5</v>
      </c>
      <c r="B257" s="10" t="s">
        <v>84</v>
      </c>
      <c r="C257" s="10" t="s">
        <v>25</v>
      </c>
      <c r="D257" s="10" t="s">
        <v>50</v>
      </c>
      <c r="E257" s="10" t="s">
        <v>50</v>
      </c>
      <c r="F257" s="10" t="s">
        <v>27</v>
      </c>
      <c r="G257" s="10"/>
      <c r="H257" s="10"/>
      <c r="I257" s="10">
        <v>12</v>
      </c>
    </row>
    <row r="258" spans="1:9" x14ac:dyDescent="0.25">
      <c r="A258" s="9">
        <v>4</v>
      </c>
      <c r="B258" s="9" t="s">
        <v>231</v>
      </c>
      <c r="C258" s="9" t="s">
        <v>29</v>
      </c>
      <c r="D258" s="9" t="s">
        <v>232</v>
      </c>
      <c r="E258" s="9" t="s">
        <v>232</v>
      </c>
      <c r="H258" s="9" t="s">
        <v>218</v>
      </c>
      <c r="I258" s="9">
        <v>2</v>
      </c>
    </row>
    <row r="259" spans="1:9" x14ac:dyDescent="0.25">
      <c r="A259" s="10">
        <v>5</v>
      </c>
      <c r="B259" s="10" t="s">
        <v>233</v>
      </c>
      <c r="C259" s="10" t="s">
        <v>25</v>
      </c>
      <c r="D259" s="10" t="s">
        <v>234</v>
      </c>
      <c r="E259" s="10" t="s">
        <v>235</v>
      </c>
      <c r="F259" s="10" t="s">
        <v>236</v>
      </c>
      <c r="G259" s="10">
        <v>8.4709199999999998E-3</v>
      </c>
      <c r="H259" s="10"/>
      <c r="I259" s="10">
        <v>1</v>
      </c>
    </row>
    <row r="260" spans="1:9" x14ac:dyDescent="0.25">
      <c r="A260" s="10">
        <v>5</v>
      </c>
      <c r="B260" s="10" t="s">
        <v>237</v>
      </c>
      <c r="C260" s="10" t="s">
        <v>25</v>
      </c>
      <c r="D260" s="10" t="s">
        <v>235</v>
      </c>
      <c r="E260" s="10" t="s">
        <v>235</v>
      </c>
      <c r="F260" s="10" t="s">
        <v>236</v>
      </c>
      <c r="G260" s="10">
        <v>2.1868200000000001E-2</v>
      </c>
      <c r="H260" s="10"/>
      <c r="I260" s="10">
        <v>1</v>
      </c>
    </row>
    <row r="261" spans="1:9" x14ac:dyDescent="0.25">
      <c r="A261" s="10">
        <v>5</v>
      </c>
      <c r="B261" s="10" t="s">
        <v>238</v>
      </c>
      <c r="C261" s="10" t="s">
        <v>35</v>
      </c>
      <c r="D261" s="10" t="s">
        <v>239</v>
      </c>
      <c r="E261" s="10" t="s">
        <v>239</v>
      </c>
      <c r="F261" s="10" t="s">
        <v>101</v>
      </c>
      <c r="G261" s="10">
        <v>1.32763E-2</v>
      </c>
      <c r="H261" s="10" t="s">
        <v>150</v>
      </c>
      <c r="I261" s="10">
        <v>1</v>
      </c>
    </row>
    <row r="262" spans="1:9" x14ac:dyDescent="0.25">
      <c r="A262" s="10">
        <v>5</v>
      </c>
      <c r="B262" s="10" t="s">
        <v>240</v>
      </c>
      <c r="C262" s="10" t="s">
        <v>25</v>
      </c>
      <c r="D262" s="10"/>
      <c r="E262" s="10" t="s">
        <v>178</v>
      </c>
      <c r="F262" s="10" t="s">
        <v>27</v>
      </c>
      <c r="G262" s="10"/>
      <c r="H262" s="10"/>
      <c r="I262" s="10">
        <v>2</v>
      </c>
    </row>
    <row r="263" spans="1:9" x14ac:dyDescent="0.25">
      <c r="A263" s="10">
        <v>5</v>
      </c>
      <c r="B263" s="10" t="s">
        <v>241</v>
      </c>
      <c r="C263" s="10" t="s">
        <v>25</v>
      </c>
      <c r="D263" s="10"/>
      <c r="E263" s="10" t="s">
        <v>178</v>
      </c>
      <c r="F263" s="10" t="s">
        <v>27</v>
      </c>
      <c r="G263" s="10"/>
      <c r="H263" s="10"/>
      <c r="I263" s="10">
        <v>2</v>
      </c>
    </row>
    <row r="264" spans="1:9" x14ac:dyDescent="0.25">
      <c r="A264" s="9">
        <v>4</v>
      </c>
      <c r="B264" s="9" t="s">
        <v>245</v>
      </c>
      <c r="C264" s="9" t="s">
        <v>35</v>
      </c>
      <c r="D264" s="9" t="s">
        <v>246</v>
      </c>
      <c r="E264" s="9" t="s">
        <v>246</v>
      </c>
      <c r="H264" s="9"/>
      <c r="I264" s="9">
        <v>2</v>
      </c>
    </row>
    <row r="265" spans="1:9" x14ac:dyDescent="0.25">
      <c r="A265" s="10">
        <v>5</v>
      </c>
      <c r="B265" s="10" t="s">
        <v>247</v>
      </c>
      <c r="C265" s="10" t="s">
        <v>35</v>
      </c>
      <c r="D265" s="10" t="s">
        <v>198</v>
      </c>
      <c r="E265" s="10" t="s">
        <v>198</v>
      </c>
      <c r="F265" s="10" t="s">
        <v>101</v>
      </c>
      <c r="G265" s="10">
        <v>7.7510699999999997E-3</v>
      </c>
      <c r="H265" s="10"/>
      <c r="I265" s="10">
        <v>1</v>
      </c>
    </row>
    <row r="266" spans="1:9" x14ac:dyDescent="0.25">
      <c r="A266" s="10">
        <v>5</v>
      </c>
      <c r="B266" s="10" t="s">
        <v>199</v>
      </c>
      <c r="C266" s="10" t="s">
        <v>25</v>
      </c>
      <c r="D266" s="10"/>
      <c r="E266" s="10" t="s">
        <v>200</v>
      </c>
      <c r="F266" s="10" t="s">
        <v>27</v>
      </c>
      <c r="G266" s="10"/>
      <c r="H266" s="10"/>
      <c r="I266" s="10">
        <v>1</v>
      </c>
    </row>
    <row r="267" spans="1:9" x14ac:dyDescent="0.25">
      <c r="A267" s="9">
        <v>4</v>
      </c>
      <c r="B267" s="9" t="s">
        <v>455</v>
      </c>
      <c r="C267" s="9" t="s">
        <v>25</v>
      </c>
      <c r="D267" s="9" t="s">
        <v>456</v>
      </c>
      <c r="E267" s="9" t="s">
        <v>457</v>
      </c>
      <c r="F267" s="9"/>
      <c r="G267" s="9">
        <v>1.20853E-2</v>
      </c>
      <c r="H267" s="9"/>
      <c r="I267" s="9">
        <v>2</v>
      </c>
    </row>
    <row r="268" spans="1:9" x14ac:dyDescent="0.25">
      <c r="A268" s="9">
        <v>4</v>
      </c>
      <c r="B268" s="9" t="s">
        <v>458</v>
      </c>
      <c r="C268" s="9" t="s">
        <v>459</v>
      </c>
      <c r="D268" s="9" t="s">
        <v>460</v>
      </c>
      <c r="E268" s="9" t="s">
        <v>460</v>
      </c>
      <c r="F268" s="9" t="s">
        <v>101</v>
      </c>
      <c r="G268" s="9">
        <v>7.6271400000000001E-3</v>
      </c>
      <c r="H268" s="9" t="s">
        <v>218</v>
      </c>
      <c r="I268" s="9">
        <v>4</v>
      </c>
    </row>
    <row r="269" spans="1:9" x14ac:dyDescent="0.25">
      <c r="A269" s="9">
        <v>4</v>
      </c>
      <c r="B269" s="9" t="s">
        <v>257</v>
      </c>
      <c r="C269" s="9" t="s">
        <v>25</v>
      </c>
      <c r="D269" s="9"/>
      <c r="E269" s="9" t="s">
        <v>7</v>
      </c>
      <c r="F269" s="9" t="s">
        <v>27</v>
      </c>
      <c r="G269" s="9"/>
      <c r="H269" s="9"/>
      <c r="I269" s="9">
        <v>4</v>
      </c>
    </row>
    <row r="270" spans="1:9" x14ac:dyDescent="0.25">
      <c r="A270" s="9">
        <v>4</v>
      </c>
      <c r="B270" s="9" t="s">
        <v>259</v>
      </c>
      <c r="C270" s="9" t="s">
        <v>35</v>
      </c>
      <c r="D270" s="9"/>
      <c r="E270" s="9" t="s">
        <v>260</v>
      </c>
      <c r="F270" s="9" t="s">
        <v>27</v>
      </c>
      <c r="G270" s="9">
        <v>3.5726600000000002E-4</v>
      </c>
      <c r="H270" s="9"/>
      <c r="I270" s="9">
        <v>4</v>
      </c>
    </row>
    <row r="271" spans="1:9" x14ac:dyDescent="0.25">
      <c r="A271" s="9">
        <v>4</v>
      </c>
      <c r="B271" s="9" t="s">
        <v>461</v>
      </c>
      <c r="C271" s="9" t="s">
        <v>35</v>
      </c>
      <c r="D271" s="9"/>
      <c r="E271" s="9" t="s">
        <v>462</v>
      </c>
      <c r="F271" s="9" t="s">
        <v>27</v>
      </c>
      <c r="G271" s="9"/>
      <c r="H271" s="9"/>
      <c r="I271" s="9">
        <v>8</v>
      </c>
    </row>
    <row r="272" spans="1:9" x14ac:dyDescent="0.25">
      <c r="A272" s="9">
        <v>4</v>
      </c>
      <c r="B272" s="9" t="s">
        <v>463</v>
      </c>
      <c r="C272" s="9" t="s">
        <v>25</v>
      </c>
      <c r="D272" s="9"/>
      <c r="E272" s="9" t="s">
        <v>464</v>
      </c>
      <c r="F272" s="9" t="s">
        <v>27</v>
      </c>
      <c r="G272" s="9"/>
      <c r="H272" s="9"/>
      <c r="I272" s="9">
        <v>8</v>
      </c>
    </row>
    <row r="273" spans="1:9" x14ac:dyDescent="0.25">
      <c r="A273" s="10">
        <v>3</v>
      </c>
      <c r="B273" s="10" t="s">
        <v>465</v>
      </c>
      <c r="C273" s="10" t="s">
        <v>459</v>
      </c>
      <c r="D273" s="10" t="s">
        <v>466</v>
      </c>
      <c r="E273" s="10" t="s">
        <v>467</v>
      </c>
      <c r="F273" s="10" t="s">
        <v>468</v>
      </c>
      <c r="G273" s="10">
        <v>0.312637</v>
      </c>
      <c r="H273" s="10" t="s">
        <v>165</v>
      </c>
      <c r="I273" s="10">
        <v>1</v>
      </c>
    </row>
    <row r="274" spans="1:9" x14ac:dyDescent="0.25">
      <c r="A274" s="10">
        <v>3</v>
      </c>
      <c r="B274" s="10" t="s">
        <v>469</v>
      </c>
      <c r="C274" s="10" t="s">
        <v>131</v>
      </c>
      <c r="D274" s="10" t="s">
        <v>470</v>
      </c>
      <c r="E274" s="10" t="s">
        <v>470</v>
      </c>
      <c r="H274" s="10" t="s">
        <v>218</v>
      </c>
      <c r="I274" s="10">
        <v>1</v>
      </c>
    </row>
    <row r="275" spans="1:9" x14ac:dyDescent="0.25">
      <c r="A275" s="9">
        <v>4</v>
      </c>
      <c r="B275" s="9" t="s">
        <v>471</v>
      </c>
      <c r="C275" s="9" t="s">
        <v>472</v>
      </c>
      <c r="D275" s="9" t="s">
        <v>473</v>
      </c>
      <c r="E275" s="9" t="s">
        <v>474</v>
      </c>
      <c r="H275" s="9" t="s">
        <v>19</v>
      </c>
      <c r="I275" s="9">
        <v>1</v>
      </c>
    </row>
    <row r="276" spans="1:9" x14ac:dyDescent="0.25">
      <c r="A276" s="10">
        <v>5</v>
      </c>
      <c r="B276" s="10" t="s">
        <v>475</v>
      </c>
      <c r="C276" s="10" t="s">
        <v>472</v>
      </c>
      <c r="D276" s="10" t="s">
        <v>476</v>
      </c>
      <c r="E276" s="10" t="s">
        <v>22</v>
      </c>
      <c r="F276" s="10" t="s">
        <v>477</v>
      </c>
      <c r="G276" s="10" t="s">
        <v>478</v>
      </c>
      <c r="H276" s="10" t="s">
        <v>19</v>
      </c>
      <c r="I276" s="10">
        <v>1</v>
      </c>
    </row>
    <row r="277" spans="1:9" x14ac:dyDescent="0.25">
      <c r="A277" s="10">
        <v>5</v>
      </c>
      <c r="B277" s="10" t="s">
        <v>49</v>
      </c>
      <c r="C277" s="10" t="s">
        <v>25</v>
      </c>
      <c r="D277" s="10" t="s">
        <v>50</v>
      </c>
      <c r="E277" s="10" t="s">
        <v>50</v>
      </c>
      <c r="F277" s="10" t="s">
        <v>27</v>
      </c>
      <c r="G277" s="10"/>
      <c r="H277" s="10"/>
      <c r="I277" s="10">
        <v>8</v>
      </c>
    </row>
    <row r="278" spans="1:9" ht="75" x14ac:dyDescent="0.25">
      <c r="A278" s="9">
        <v>4</v>
      </c>
      <c r="B278" s="9" t="s">
        <v>479</v>
      </c>
      <c r="C278" s="9" t="s">
        <v>131</v>
      </c>
      <c r="D278" s="11" t="s">
        <v>480</v>
      </c>
      <c r="E278" s="9" t="s">
        <v>481</v>
      </c>
      <c r="F278" s="9" t="s">
        <v>292</v>
      </c>
      <c r="G278" s="9">
        <v>0.54386199999999996</v>
      </c>
      <c r="H278" s="9" t="s">
        <v>165</v>
      </c>
      <c r="I278" s="9">
        <v>1</v>
      </c>
    </row>
    <row r="279" spans="1:9" x14ac:dyDescent="0.25">
      <c r="A279" s="9">
        <v>4</v>
      </c>
      <c r="B279" s="9" t="s">
        <v>482</v>
      </c>
      <c r="C279" s="9" t="s">
        <v>131</v>
      </c>
      <c r="D279" s="9" t="s">
        <v>483</v>
      </c>
      <c r="E279" s="9" t="s">
        <v>483</v>
      </c>
      <c r="F279" s="9" t="s">
        <v>297</v>
      </c>
      <c r="G279" s="9">
        <v>0.22735</v>
      </c>
      <c r="H279" s="9" t="s">
        <v>289</v>
      </c>
      <c r="I279" s="9">
        <v>1</v>
      </c>
    </row>
    <row r="280" spans="1:9" x14ac:dyDescent="0.25">
      <c r="A280" s="9">
        <v>4</v>
      </c>
      <c r="B280" s="9" t="s">
        <v>484</v>
      </c>
      <c r="C280" s="9" t="s">
        <v>485</v>
      </c>
      <c r="D280" s="9" t="s">
        <v>390</v>
      </c>
      <c r="E280" s="9" t="s">
        <v>390</v>
      </c>
      <c r="F280" s="9" t="s">
        <v>486</v>
      </c>
      <c r="G280" s="9">
        <v>2.84973E-3</v>
      </c>
      <c r="H280" s="9" t="s">
        <v>165</v>
      </c>
      <c r="I280" s="9">
        <v>4</v>
      </c>
    </row>
    <row r="281" spans="1:9" ht="75" x14ac:dyDescent="0.25">
      <c r="A281" s="9">
        <v>4</v>
      </c>
      <c r="B281" s="9" t="s">
        <v>487</v>
      </c>
      <c r="C281" s="9" t="s">
        <v>35</v>
      </c>
      <c r="D281" s="11" t="s">
        <v>488</v>
      </c>
      <c r="E281" s="9" t="s">
        <v>489</v>
      </c>
      <c r="H281" s="9"/>
      <c r="I281" s="9">
        <v>4</v>
      </c>
    </row>
    <row r="282" spans="1:9" x14ac:dyDescent="0.25">
      <c r="A282" s="10">
        <v>5</v>
      </c>
      <c r="B282" s="10" t="s">
        <v>490</v>
      </c>
      <c r="C282" s="10" t="s">
        <v>35</v>
      </c>
      <c r="D282" s="10" t="s">
        <v>198</v>
      </c>
      <c r="E282" s="10" t="s">
        <v>198</v>
      </c>
      <c r="F282" s="10" t="s">
        <v>101</v>
      </c>
      <c r="G282" s="10">
        <v>7.3940999999999998E-3</v>
      </c>
      <c r="H282" s="10"/>
      <c r="I282" s="10">
        <v>1</v>
      </c>
    </row>
    <row r="283" spans="1:9" x14ac:dyDescent="0.25">
      <c r="A283" s="10">
        <v>5</v>
      </c>
      <c r="B283" s="10" t="s">
        <v>199</v>
      </c>
      <c r="C283" s="10" t="s">
        <v>25</v>
      </c>
      <c r="D283" s="10"/>
      <c r="E283" s="10" t="s">
        <v>200</v>
      </c>
      <c r="F283" s="10" t="s">
        <v>27</v>
      </c>
      <c r="G283" s="10"/>
      <c r="H283" s="10"/>
      <c r="I283" s="10">
        <v>1</v>
      </c>
    </row>
    <row r="284" spans="1:9" x14ac:dyDescent="0.25">
      <c r="A284" s="9">
        <v>4</v>
      </c>
      <c r="B284" s="9" t="s">
        <v>259</v>
      </c>
      <c r="C284" s="9" t="s">
        <v>35</v>
      </c>
      <c r="D284" s="9"/>
      <c r="E284" s="9" t="s">
        <v>260</v>
      </c>
      <c r="F284" s="9" t="s">
        <v>27</v>
      </c>
      <c r="G284" s="9">
        <v>3.5726600000000002E-4</v>
      </c>
      <c r="H284" s="9"/>
      <c r="I284" s="9">
        <v>8</v>
      </c>
    </row>
    <row r="285" spans="1:9" x14ac:dyDescent="0.25">
      <c r="A285" s="9">
        <v>4</v>
      </c>
      <c r="B285" s="9" t="s">
        <v>6</v>
      </c>
      <c r="C285" s="9" t="s">
        <v>35</v>
      </c>
      <c r="D285" s="9"/>
      <c r="E285" s="9" t="s">
        <v>7</v>
      </c>
      <c r="F285" s="9" t="s">
        <v>27</v>
      </c>
      <c r="G285" s="9"/>
      <c r="H285" s="9"/>
      <c r="I285" s="9">
        <v>8</v>
      </c>
    </row>
    <row r="286" spans="1:9" x14ac:dyDescent="0.25">
      <c r="A286" s="10">
        <v>3</v>
      </c>
      <c r="B286" s="10" t="s">
        <v>491</v>
      </c>
      <c r="C286" s="10" t="s">
        <v>29</v>
      </c>
      <c r="D286" s="10"/>
      <c r="E286" s="10" t="s">
        <v>492</v>
      </c>
      <c r="H286" s="10" t="s">
        <v>223</v>
      </c>
      <c r="I286" s="10">
        <v>1</v>
      </c>
    </row>
    <row r="287" spans="1:9" x14ac:dyDescent="0.25">
      <c r="A287" s="9">
        <v>4</v>
      </c>
      <c r="B287" s="9" t="s">
        <v>493</v>
      </c>
      <c r="C287" s="9" t="s">
        <v>29</v>
      </c>
      <c r="D287" s="9" t="s">
        <v>494</v>
      </c>
      <c r="E287" s="9" t="s">
        <v>495</v>
      </c>
      <c r="H287" s="9" t="s">
        <v>223</v>
      </c>
      <c r="I287" s="9">
        <v>1</v>
      </c>
    </row>
    <row r="288" spans="1:9" ht="345" x14ac:dyDescent="0.25">
      <c r="A288" s="10">
        <v>5</v>
      </c>
      <c r="B288" s="10" t="s">
        <v>496</v>
      </c>
      <c r="C288" s="10" t="s">
        <v>78</v>
      </c>
      <c r="D288" s="12" t="s">
        <v>497</v>
      </c>
      <c r="E288" s="10" t="s">
        <v>498</v>
      </c>
      <c r="F288" s="10" t="s">
        <v>499</v>
      </c>
      <c r="G288" s="13">
        <v>1.19855E-10</v>
      </c>
      <c r="H288" s="10" t="s">
        <v>218</v>
      </c>
      <c r="I288" s="10">
        <v>1</v>
      </c>
    </row>
    <row r="289" spans="1:9" x14ac:dyDescent="0.25">
      <c r="A289" s="10">
        <v>5</v>
      </c>
      <c r="B289" s="10" t="s">
        <v>500</v>
      </c>
      <c r="C289" s="10" t="s">
        <v>78</v>
      </c>
      <c r="D289" s="10" t="s">
        <v>501</v>
      </c>
      <c r="E289" s="10" t="s">
        <v>502</v>
      </c>
      <c r="F289" s="10" t="s">
        <v>297</v>
      </c>
      <c r="G289" s="10">
        <v>0.42457800000000001</v>
      </c>
      <c r="H289" s="10" t="s">
        <v>218</v>
      </c>
      <c r="I289" s="10">
        <v>1</v>
      </c>
    </row>
    <row r="290" spans="1:9" x14ac:dyDescent="0.25">
      <c r="A290" s="10">
        <v>5</v>
      </c>
      <c r="B290" s="10" t="s">
        <v>503</v>
      </c>
      <c r="C290" s="10" t="s">
        <v>29</v>
      </c>
      <c r="D290" s="10" t="s">
        <v>504</v>
      </c>
      <c r="E290" s="10" t="s">
        <v>327</v>
      </c>
      <c r="F290" s="10" t="s">
        <v>292</v>
      </c>
      <c r="G290" s="10">
        <v>9.9623799999999998E-2</v>
      </c>
      <c r="H290" s="10" t="s">
        <v>223</v>
      </c>
      <c r="I290" s="10">
        <v>1</v>
      </c>
    </row>
    <row r="291" spans="1:9" x14ac:dyDescent="0.25">
      <c r="A291" s="10">
        <v>5</v>
      </c>
      <c r="B291" s="10" t="s">
        <v>505</v>
      </c>
      <c r="C291" s="10" t="s">
        <v>25</v>
      </c>
      <c r="D291" s="10"/>
      <c r="E291" s="10" t="s">
        <v>445</v>
      </c>
      <c r="F291" s="10" t="s">
        <v>176</v>
      </c>
      <c r="G291" s="10"/>
      <c r="H291" s="10"/>
      <c r="I291" s="10">
        <v>4</v>
      </c>
    </row>
    <row r="292" spans="1:9" x14ac:dyDescent="0.25">
      <c r="A292" s="10">
        <v>5</v>
      </c>
      <c r="B292" s="10" t="s">
        <v>506</v>
      </c>
      <c r="C292" s="10" t="s">
        <v>25</v>
      </c>
      <c r="D292" s="10"/>
      <c r="E292" s="10" t="s">
        <v>507</v>
      </c>
      <c r="F292" s="10" t="s">
        <v>27</v>
      </c>
      <c r="G292" s="10"/>
      <c r="H292" s="10"/>
      <c r="I292" s="10">
        <v>4</v>
      </c>
    </row>
    <row r="293" spans="1:9" x14ac:dyDescent="0.25">
      <c r="A293" s="10">
        <v>5</v>
      </c>
      <c r="B293" s="10" t="s">
        <v>508</v>
      </c>
      <c r="C293" s="10" t="s">
        <v>25</v>
      </c>
      <c r="D293" s="10"/>
      <c r="E293" s="10" t="s">
        <v>464</v>
      </c>
      <c r="F293" s="10" t="s">
        <v>27</v>
      </c>
      <c r="G293" s="10"/>
      <c r="H293" s="10"/>
      <c r="I293" s="10">
        <v>4</v>
      </c>
    </row>
    <row r="294" spans="1:9" x14ac:dyDescent="0.25">
      <c r="A294" s="9">
        <v>4</v>
      </c>
      <c r="B294" s="9" t="s">
        <v>509</v>
      </c>
      <c r="C294" s="9" t="s">
        <v>29</v>
      </c>
      <c r="D294" s="9" t="s">
        <v>510</v>
      </c>
      <c r="E294" s="9" t="s">
        <v>510</v>
      </c>
      <c r="F294" s="9" t="s">
        <v>292</v>
      </c>
      <c r="G294" s="9">
        <v>0.12088599999999999</v>
      </c>
      <c r="H294" s="9" t="s">
        <v>223</v>
      </c>
      <c r="I294" s="9">
        <v>1</v>
      </c>
    </row>
    <row r="295" spans="1:9" x14ac:dyDescent="0.25">
      <c r="A295" s="9">
        <v>4</v>
      </c>
      <c r="B295" s="9" t="s">
        <v>511</v>
      </c>
      <c r="C295" s="9" t="s">
        <v>29</v>
      </c>
      <c r="D295" s="9" t="s">
        <v>512</v>
      </c>
      <c r="E295" s="9" t="s">
        <v>495</v>
      </c>
      <c r="H295" s="9" t="s">
        <v>223</v>
      </c>
      <c r="I295" s="9">
        <v>1</v>
      </c>
    </row>
    <row r="296" spans="1:9" ht="345" x14ac:dyDescent="0.25">
      <c r="A296" s="10">
        <v>5</v>
      </c>
      <c r="B296" s="10" t="s">
        <v>513</v>
      </c>
      <c r="C296" s="10" t="s">
        <v>78</v>
      </c>
      <c r="D296" s="12" t="s">
        <v>514</v>
      </c>
      <c r="E296" s="10" t="s">
        <v>498</v>
      </c>
      <c r="F296" s="10" t="s">
        <v>499</v>
      </c>
      <c r="G296" s="13">
        <v>1.46152E-10</v>
      </c>
      <c r="H296" s="10" t="s">
        <v>218</v>
      </c>
      <c r="I296" s="10">
        <v>1</v>
      </c>
    </row>
    <row r="297" spans="1:9" x14ac:dyDescent="0.25">
      <c r="A297" s="10">
        <v>5</v>
      </c>
      <c r="B297" s="10" t="s">
        <v>515</v>
      </c>
      <c r="C297" s="10" t="s">
        <v>78</v>
      </c>
      <c r="D297" s="10" t="s">
        <v>516</v>
      </c>
      <c r="E297" s="10" t="s">
        <v>502</v>
      </c>
      <c r="F297" s="10" t="s">
        <v>297</v>
      </c>
      <c r="G297" s="10">
        <v>0.51760200000000001</v>
      </c>
      <c r="H297" s="10" t="s">
        <v>218</v>
      </c>
      <c r="I297" s="10">
        <v>1</v>
      </c>
    </row>
    <row r="298" spans="1:9" x14ac:dyDescent="0.25">
      <c r="A298" s="10">
        <v>5</v>
      </c>
      <c r="B298" s="10" t="s">
        <v>517</v>
      </c>
      <c r="C298" s="10" t="s">
        <v>29</v>
      </c>
      <c r="D298" s="10" t="s">
        <v>518</v>
      </c>
      <c r="E298" s="10" t="s">
        <v>327</v>
      </c>
      <c r="F298" s="10" t="s">
        <v>292</v>
      </c>
      <c r="G298" s="10">
        <v>0.121527</v>
      </c>
      <c r="H298" s="10" t="s">
        <v>223</v>
      </c>
      <c r="I298" s="10">
        <v>1</v>
      </c>
    </row>
    <row r="299" spans="1:9" x14ac:dyDescent="0.25">
      <c r="A299" s="10">
        <v>5</v>
      </c>
      <c r="B299" s="10" t="s">
        <v>505</v>
      </c>
      <c r="C299" s="10" t="s">
        <v>25</v>
      </c>
      <c r="D299" s="10"/>
      <c r="E299" s="10" t="s">
        <v>445</v>
      </c>
      <c r="F299" s="10" t="s">
        <v>176</v>
      </c>
      <c r="G299" s="10"/>
      <c r="H299" s="10"/>
      <c r="I299" s="10">
        <v>4</v>
      </c>
    </row>
    <row r="300" spans="1:9" x14ac:dyDescent="0.25">
      <c r="A300" s="10">
        <v>5</v>
      </c>
      <c r="B300" s="10" t="s">
        <v>506</v>
      </c>
      <c r="C300" s="10" t="s">
        <v>25</v>
      </c>
      <c r="D300" s="10"/>
      <c r="E300" s="10" t="s">
        <v>507</v>
      </c>
      <c r="F300" s="10" t="s">
        <v>27</v>
      </c>
      <c r="G300" s="10"/>
      <c r="H300" s="10"/>
      <c r="I300" s="10">
        <v>4</v>
      </c>
    </row>
    <row r="301" spans="1:9" x14ac:dyDescent="0.25">
      <c r="A301" s="10">
        <v>5</v>
      </c>
      <c r="B301" s="10" t="s">
        <v>508</v>
      </c>
      <c r="C301" s="10" t="s">
        <v>25</v>
      </c>
      <c r="D301" s="10"/>
      <c r="E301" s="10" t="s">
        <v>464</v>
      </c>
      <c r="F301" s="10" t="s">
        <v>27</v>
      </c>
      <c r="G301" s="10"/>
      <c r="H301" s="10"/>
      <c r="I301" s="10">
        <v>4</v>
      </c>
    </row>
    <row r="302" spans="1:9" x14ac:dyDescent="0.25">
      <c r="A302" s="9">
        <v>4</v>
      </c>
      <c r="B302" s="9" t="s">
        <v>519</v>
      </c>
      <c r="C302" s="9" t="s">
        <v>29</v>
      </c>
      <c r="D302" s="9" t="s">
        <v>520</v>
      </c>
      <c r="E302" s="9" t="s">
        <v>520</v>
      </c>
      <c r="F302" s="9" t="s">
        <v>292</v>
      </c>
      <c r="G302" s="9">
        <v>0.100496</v>
      </c>
      <c r="H302" s="9" t="s">
        <v>223</v>
      </c>
      <c r="I302" s="9">
        <v>2</v>
      </c>
    </row>
    <row r="303" spans="1:9" x14ac:dyDescent="0.25">
      <c r="A303" s="9">
        <v>4</v>
      </c>
      <c r="B303" s="9" t="s">
        <v>521</v>
      </c>
      <c r="C303" s="9" t="s">
        <v>29</v>
      </c>
      <c r="D303" s="9" t="s">
        <v>520</v>
      </c>
      <c r="E303" s="9" t="s">
        <v>520</v>
      </c>
      <c r="F303" s="9" t="s">
        <v>292</v>
      </c>
      <c r="G303" s="9">
        <v>0.118016</v>
      </c>
      <c r="H303" s="9" t="s">
        <v>223</v>
      </c>
      <c r="I303" s="9">
        <v>2</v>
      </c>
    </row>
    <row r="304" spans="1:9" x14ac:dyDescent="0.25">
      <c r="A304" s="9">
        <v>4</v>
      </c>
      <c r="B304" s="9" t="s">
        <v>224</v>
      </c>
      <c r="C304" s="9" t="s">
        <v>25</v>
      </c>
      <c r="D304" s="9"/>
      <c r="E304" s="9" t="s">
        <v>9</v>
      </c>
      <c r="F304" s="9" t="s">
        <v>27</v>
      </c>
      <c r="G304" s="9"/>
      <c r="H304" s="9"/>
      <c r="I304" s="9">
        <v>3</v>
      </c>
    </row>
    <row r="305" spans="1:9" ht="135" x14ac:dyDescent="0.25">
      <c r="A305" s="9">
        <v>4</v>
      </c>
      <c r="B305" s="9" t="s">
        <v>522</v>
      </c>
      <c r="C305" s="9" t="s">
        <v>25</v>
      </c>
      <c r="D305" s="11" t="s">
        <v>523</v>
      </c>
      <c r="E305" s="9" t="s">
        <v>524</v>
      </c>
      <c r="F305" s="9" t="s">
        <v>27</v>
      </c>
      <c r="G305" s="9">
        <v>4.5560499999999999E-3</v>
      </c>
      <c r="H305" s="9"/>
      <c r="I305" s="9">
        <v>3</v>
      </c>
    </row>
    <row r="306" spans="1:9" x14ac:dyDescent="0.25">
      <c r="A306" s="9">
        <v>4</v>
      </c>
      <c r="B306" s="9" t="s">
        <v>525</v>
      </c>
      <c r="C306" s="9" t="s">
        <v>35</v>
      </c>
      <c r="D306" s="9"/>
      <c r="E306" s="9" t="s">
        <v>9</v>
      </c>
      <c r="F306" s="9" t="s">
        <v>27</v>
      </c>
      <c r="G306" s="9"/>
      <c r="H306" s="9"/>
      <c r="I306" s="9">
        <v>10</v>
      </c>
    </row>
    <row r="307" spans="1:9" x14ac:dyDescent="0.25">
      <c r="A307" s="10">
        <v>3</v>
      </c>
      <c r="B307" s="10" t="s">
        <v>526</v>
      </c>
      <c r="C307" s="10" t="s">
        <v>25</v>
      </c>
      <c r="D307" s="10"/>
      <c r="E307" s="10" t="s">
        <v>527</v>
      </c>
      <c r="F307" s="10" t="s">
        <v>27</v>
      </c>
      <c r="G307" s="10"/>
      <c r="H307" s="10"/>
      <c r="I307" s="10">
        <v>1</v>
      </c>
    </row>
    <row r="308" spans="1:9" x14ac:dyDescent="0.25">
      <c r="A308" s="10">
        <v>3</v>
      </c>
      <c r="B308" s="10" t="s">
        <v>528</v>
      </c>
      <c r="C308" s="10" t="s">
        <v>25</v>
      </c>
      <c r="D308" s="10"/>
      <c r="E308" s="10" t="s">
        <v>529</v>
      </c>
      <c r="F308" s="10" t="s">
        <v>27</v>
      </c>
      <c r="G308" s="10"/>
      <c r="H308" s="10"/>
      <c r="I308" s="10">
        <v>1</v>
      </c>
    </row>
    <row r="309" spans="1:9" ht="225" x14ac:dyDescent="0.25">
      <c r="A309" s="10">
        <v>3</v>
      </c>
      <c r="B309" s="10" t="s">
        <v>530</v>
      </c>
      <c r="C309" s="10" t="s">
        <v>25</v>
      </c>
      <c r="D309" s="12" t="s">
        <v>531</v>
      </c>
      <c r="E309" s="10" t="s">
        <v>530</v>
      </c>
      <c r="F309" s="10"/>
      <c r="G309" s="10">
        <v>0</v>
      </c>
      <c r="H309" s="10"/>
      <c r="I309" s="10">
        <v>1</v>
      </c>
    </row>
    <row r="310" spans="1:9" ht="90" x14ac:dyDescent="0.25">
      <c r="A310" s="10">
        <v>3</v>
      </c>
      <c r="B310" s="10" t="s">
        <v>532</v>
      </c>
      <c r="C310" s="10" t="s">
        <v>29</v>
      </c>
      <c r="D310" s="12" t="s">
        <v>533</v>
      </c>
      <c r="E310" s="10" t="s">
        <v>534</v>
      </c>
      <c r="F310" s="10" t="s">
        <v>292</v>
      </c>
      <c r="G310" s="10">
        <v>0.182865</v>
      </c>
      <c r="H310" s="10"/>
      <c r="I310" s="10">
        <v>1</v>
      </c>
    </row>
    <row r="311" spans="1:9" ht="90" x14ac:dyDescent="0.25">
      <c r="A311" s="10">
        <v>3</v>
      </c>
      <c r="B311" s="10" t="s">
        <v>535</v>
      </c>
      <c r="C311" s="10" t="s">
        <v>29</v>
      </c>
      <c r="D311" s="12" t="s">
        <v>536</v>
      </c>
      <c r="E311" s="10" t="s">
        <v>537</v>
      </c>
      <c r="F311" s="10" t="s">
        <v>292</v>
      </c>
      <c r="G311" s="10">
        <v>0.37317299999999998</v>
      </c>
      <c r="H311" s="10"/>
      <c r="I311" s="10">
        <v>1</v>
      </c>
    </row>
    <row r="312" spans="1:9" x14ac:dyDescent="0.25">
      <c r="A312" s="10">
        <v>3</v>
      </c>
      <c r="B312" s="10" t="s">
        <v>538</v>
      </c>
      <c r="C312" s="10" t="s">
        <v>25</v>
      </c>
      <c r="D312" s="10"/>
      <c r="E312" s="10" t="s">
        <v>539</v>
      </c>
      <c r="F312" s="10" t="s">
        <v>499</v>
      </c>
      <c r="G312" s="10">
        <v>0</v>
      </c>
      <c r="H312" s="10"/>
      <c r="I312" s="10">
        <v>1</v>
      </c>
    </row>
    <row r="313" spans="1:9" x14ac:dyDescent="0.25">
      <c r="A313" s="10">
        <v>3</v>
      </c>
      <c r="B313" s="10" t="s">
        <v>540</v>
      </c>
      <c r="C313" s="10" t="s">
        <v>29</v>
      </c>
      <c r="D313" s="10" t="s">
        <v>133</v>
      </c>
      <c r="E313" s="10" t="s">
        <v>133</v>
      </c>
      <c r="H313" s="10"/>
      <c r="I313" s="10">
        <v>1</v>
      </c>
    </row>
    <row r="314" spans="1:9" x14ac:dyDescent="0.25">
      <c r="A314" s="9">
        <v>4</v>
      </c>
      <c r="B314" s="9" t="s">
        <v>541</v>
      </c>
      <c r="C314" s="9" t="s">
        <v>29</v>
      </c>
      <c r="D314" s="9" t="s">
        <v>542</v>
      </c>
      <c r="E314" s="9" t="s">
        <v>22</v>
      </c>
      <c r="F314" s="9" t="s">
        <v>114</v>
      </c>
      <c r="G314" s="9">
        <v>0.29802099999999998</v>
      </c>
      <c r="H314" s="9"/>
      <c r="I314" s="9">
        <v>1</v>
      </c>
    </row>
    <row r="315" spans="1:9" x14ac:dyDescent="0.25">
      <c r="A315" s="9">
        <v>4</v>
      </c>
      <c r="B315" s="9" t="s">
        <v>543</v>
      </c>
      <c r="C315" s="9" t="s">
        <v>25</v>
      </c>
      <c r="D315" s="9"/>
      <c r="E315" s="9" t="s">
        <v>26</v>
      </c>
      <c r="F315" s="9" t="s">
        <v>27</v>
      </c>
      <c r="G315" s="9"/>
      <c r="H315" s="9"/>
      <c r="I315" s="9">
        <v>4</v>
      </c>
    </row>
    <row r="316" spans="1:9" x14ac:dyDescent="0.25">
      <c r="A316" s="10">
        <v>3</v>
      </c>
      <c r="B316" s="10" t="s">
        <v>544</v>
      </c>
      <c r="C316" s="10" t="s">
        <v>485</v>
      </c>
      <c r="D316" s="10" t="s">
        <v>545</v>
      </c>
      <c r="E316" s="10" t="s">
        <v>545</v>
      </c>
      <c r="F316" s="10" t="s">
        <v>292</v>
      </c>
      <c r="G316" s="10">
        <v>0.82806500000000005</v>
      </c>
      <c r="H316" s="10" t="s">
        <v>165</v>
      </c>
      <c r="I316" s="10">
        <v>1</v>
      </c>
    </row>
    <row r="317" spans="1:9" x14ac:dyDescent="0.25">
      <c r="A317" s="10">
        <v>3</v>
      </c>
      <c r="B317" s="10" t="s">
        <v>546</v>
      </c>
      <c r="C317" s="10" t="s">
        <v>78</v>
      </c>
      <c r="D317" s="10"/>
      <c r="E317" s="10" t="s">
        <v>547</v>
      </c>
      <c r="H317" s="10" t="s">
        <v>150</v>
      </c>
      <c r="I317" s="10">
        <v>1</v>
      </c>
    </row>
    <row r="318" spans="1:9" x14ac:dyDescent="0.25">
      <c r="A318" s="9">
        <v>4</v>
      </c>
      <c r="B318" s="9" t="s">
        <v>548</v>
      </c>
      <c r="C318" s="9" t="s">
        <v>29</v>
      </c>
      <c r="D318" s="9"/>
      <c r="E318" s="9" t="s">
        <v>549</v>
      </c>
      <c r="F318" s="9" t="s">
        <v>550</v>
      </c>
      <c r="G318" s="9">
        <v>4.21681E-2</v>
      </c>
      <c r="H318" s="9" t="s">
        <v>150</v>
      </c>
      <c r="I318" s="9">
        <v>1</v>
      </c>
    </row>
    <row r="319" spans="1:9" x14ac:dyDescent="0.25">
      <c r="A319" s="9">
        <v>4</v>
      </c>
      <c r="B319" s="9" t="s">
        <v>551</v>
      </c>
      <c r="C319" s="9" t="s">
        <v>29</v>
      </c>
      <c r="D319" s="9" t="s">
        <v>552</v>
      </c>
      <c r="E319" s="9" t="s">
        <v>552</v>
      </c>
      <c r="F319" s="9" t="s">
        <v>550</v>
      </c>
      <c r="G319" s="9">
        <v>6.0163700000000001E-2</v>
      </c>
      <c r="H319" s="9" t="s">
        <v>150</v>
      </c>
      <c r="I319" s="9">
        <v>1</v>
      </c>
    </row>
    <row r="320" spans="1:9" ht="150" x14ac:dyDescent="0.25">
      <c r="A320" s="9">
        <v>4</v>
      </c>
      <c r="B320" s="9" t="s">
        <v>553</v>
      </c>
      <c r="C320" s="9" t="s">
        <v>29</v>
      </c>
      <c r="D320" s="11" t="s">
        <v>554</v>
      </c>
      <c r="E320" s="9" t="s">
        <v>555</v>
      </c>
      <c r="H320" s="9" t="s">
        <v>150</v>
      </c>
      <c r="I320" s="9">
        <v>1</v>
      </c>
    </row>
    <row r="321" spans="1:9" x14ac:dyDescent="0.25">
      <c r="A321" s="10">
        <v>5</v>
      </c>
      <c r="B321" s="10" t="s">
        <v>556</v>
      </c>
      <c r="C321" s="10" t="s">
        <v>29</v>
      </c>
      <c r="D321" s="10" t="s">
        <v>557</v>
      </c>
      <c r="E321" s="10" t="s">
        <v>558</v>
      </c>
      <c r="H321" s="10" t="s">
        <v>150</v>
      </c>
      <c r="I321" s="10">
        <v>1</v>
      </c>
    </row>
    <row r="322" spans="1:9" x14ac:dyDescent="0.25">
      <c r="A322" s="9">
        <v>6</v>
      </c>
      <c r="B322" s="9" t="s">
        <v>559</v>
      </c>
      <c r="C322" s="9" t="s">
        <v>29</v>
      </c>
      <c r="D322" s="9" t="s">
        <v>560</v>
      </c>
      <c r="E322" s="9" t="s">
        <v>561</v>
      </c>
      <c r="F322" s="9" t="s">
        <v>562</v>
      </c>
      <c r="G322" s="9">
        <v>1.44726E-2</v>
      </c>
      <c r="H322" s="9" t="s">
        <v>150</v>
      </c>
      <c r="I322" s="9">
        <v>1</v>
      </c>
    </row>
    <row r="323" spans="1:9" x14ac:dyDescent="0.25">
      <c r="A323" s="9">
        <v>6</v>
      </c>
      <c r="B323" s="9" t="s">
        <v>563</v>
      </c>
      <c r="C323" s="9" t="s">
        <v>29</v>
      </c>
      <c r="D323" s="9" t="s">
        <v>564</v>
      </c>
      <c r="E323" s="9" t="s">
        <v>198</v>
      </c>
      <c r="F323" s="9" t="s">
        <v>562</v>
      </c>
      <c r="G323" s="9">
        <v>8.3433199999999996E-3</v>
      </c>
      <c r="H323" s="9" t="s">
        <v>150</v>
      </c>
      <c r="I323" s="9">
        <v>1</v>
      </c>
    </row>
    <row r="324" spans="1:9" x14ac:dyDescent="0.25">
      <c r="A324" s="10">
        <v>5</v>
      </c>
      <c r="B324" s="10" t="s">
        <v>565</v>
      </c>
      <c r="C324" s="10" t="s">
        <v>25</v>
      </c>
      <c r="D324" s="10"/>
      <c r="E324" s="10" t="s">
        <v>566</v>
      </c>
      <c r="F324" s="10" t="s">
        <v>567</v>
      </c>
      <c r="G324" s="10">
        <v>2.4548E-3</v>
      </c>
      <c r="H324" s="10"/>
      <c r="I324" s="10">
        <v>1</v>
      </c>
    </row>
    <row r="325" spans="1:9" x14ac:dyDescent="0.25">
      <c r="A325" s="9">
        <v>4</v>
      </c>
      <c r="B325" s="9" t="s">
        <v>568</v>
      </c>
      <c r="C325" s="9" t="s">
        <v>25</v>
      </c>
      <c r="D325" s="9" t="s">
        <v>569</v>
      </c>
      <c r="E325" s="9" t="s">
        <v>569</v>
      </c>
      <c r="F325" s="9" t="s">
        <v>499</v>
      </c>
      <c r="G325" s="9">
        <v>0</v>
      </c>
      <c r="H325" s="9"/>
      <c r="I325" s="9">
        <v>1</v>
      </c>
    </row>
    <row r="326" spans="1:9" x14ac:dyDescent="0.25">
      <c r="A326" s="9">
        <v>4</v>
      </c>
      <c r="B326" s="9" t="s">
        <v>570</v>
      </c>
      <c r="C326" s="9" t="s">
        <v>29</v>
      </c>
      <c r="D326" s="9"/>
      <c r="E326" s="9" t="s">
        <v>571</v>
      </c>
      <c r="F326" s="9" t="s">
        <v>572</v>
      </c>
      <c r="G326" s="9">
        <v>5.0590400000000005E-4</v>
      </c>
      <c r="H326" s="9" t="s">
        <v>150</v>
      </c>
      <c r="I326" s="9">
        <v>2</v>
      </c>
    </row>
    <row r="327" spans="1:9" x14ac:dyDescent="0.25">
      <c r="A327" s="10">
        <v>3</v>
      </c>
      <c r="B327" s="10" t="s">
        <v>573</v>
      </c>
      <c r="C327" s="10" t="s">
        <v>574</v>
      </c>
      <c r="D327" s="10" t="s">
        <v>575</v>
      </c>
      <c r="E327" s="10" t="s">
        <v>575</v>
      </c>
      <c r="H327" s="10" t="s">
        <v>19</v>
      </c>
      <c r="I327" s="10">
        <v>1</v>
      </c>
    </row>
    <row r="328" spans="1:9" x14ac:dyDescent="0.25">
      <c r="A328" s="9">
        <v>4</v>
      </c>
      <c r="B328" s="9" t="s">
        <v>576</v>
      </c>
      <c r="C328" s="9" t="s">
        <v>574</v>
      </c>
      <c r="D328" s="9" t="s">
        <v>474</v>
      </c>
      <c r="E328" s="9" t="s">
        <v>474</v>
      </c>
      <c r="H328" s="9" t="s">
        <v>19</v>
      </c>
      <c r="I328" s="9">
        <v>1</v>
      </c>
    </row>
    <row r="329" spans="1:9" x14ac:dyDescent="0.25">
      <c r="A329" s="10">
        <v>5</v>
      </c>
      <c r="B329" s="10" t="s">
        <v>577</v>
      </c>
      <c r="C329" s="10" t="s">
        <v>574</v>
      </c>
      <c r="D329" s="10" t="s">
        <v>123</v>
      </c>
      <c r="E329" s="10" t="s">
        <v>22</v>
      </c>
      <c r="F329" s="10" t="s">
        <v>578</v>
      </c>
      <c r="G329" s="10">
        <v>1.25163</v>
      </c>
      <c r="H329" s="10" t="s">
        <v>19</v>
      </c>
      <c r="I329" s="10">
        <v>1</v>
      </c>
    </row>
    <row r="330" spans="1:9" x14ac:dyDescent="0.25">
      <c r="A330" s="10">
        <v>5</v>
      </c>
      <c r="B330" s="10" t="s">
        <v>75</v>
      </c>
      <c r="C330" s="10" t="s">
        <v>25</v>
      </c>
      <c r="D330" s="10" t="s">
        <v>76</v>
      </c>
      <c r="E330" s="10" t="s">
        <v>76</v>
      </c>
      <c r="F330" s="10" t="s">
        <v>27</v>
      </c>
      <c r="G330" s="10"/>
      <c r="H330" s="10"/>
      <c r="I330" s="10">
        <v>7</v>
      </c>
    </row>
    <row r="331" spans="1:9" x14ac:dyDescent="0.25">
      <c r="A331" s="9">
        <v>4</v>
      </c>
      <c r="B331" s="9" t="s">
        <v>579</v>
      </c>
      <c r="C331" s="9" t="s">
        <v>574</v>
      </c>
      <c r="D331" s="9" t="s">
        <v>580</v>
      </c>
      <c r="E331" s="9" t="s">
        <v>581</v>
      </c>
      <c r="F331" s="9" t="s">
        <v>581</v>
      </c>
      <c r="G331" s="9">
        <v>1.88557</v>
      </c>
      <c r="H331" s="9" t="s">
        <v>289</v>
      </c>
      <c r="I331" s="9">
        <v>1</v>
      </c>
    </row>
    <row r="332" spans="1:9" x14ac:dyDescent="0.25">
      <c r="A332" s="10">
        <v>3</v>
      </c>
      <c r="B332" s="10" t="s">
        <v>582</v>
      </c>
      <c r="C332" s="10" t="s">
        <v>131</v>
      </c>
      <c r="D332" s="10" t="s">
        <v>583</v>
      </c>
      <c r="E332" s="10" t="s">
        <v>584</v>
      </c>
      <c r="F332" s="10" t="s">
        <v>585</v>
      </c>
      <c r="G332" s="10">
        <v>0.193493</v>
      </c>
      <c r="H332" s="10" t="s">
        <v>586</v>
      </c>
      <c r="I332" s="10">
        <v>1</v>
      </c>
    </row>
    <row r="333" spans="1:9" x14ac:dyDescent="0.25">
      <c r="A333" s="10">
        <v>3</v>
      </c>
      <c r="B333" s="10" t="s">
        <v>587</v>
      </c>
      <c r="C333" s="10" t="s">
        <v>131</v>
      </c>
      <c r="D333" s="10" t="s">
        <v>588</v>
      </c>
      <c r="E333" s="10" t="s">
        <v>588</v>
      </c>
      <c r="H333" s="10" t="s">
        <v>586</v>
      </c>
      <c r="I333" s="10">
        <v>1</v>
      </c>
    </row>
    <row r="334" spans="1:9" x14ac:dyDescent="0.25">
      <c r="A334" s="9">
        <v>4</v>
      </c>
      <c r="B334" s="9" t="s">
        <v>589</v>
      </c>
      <c r="C334" s="9" t="s">
        <v>25</v>
      </c>
      <c r="D334" s="9" t="s">
        <v>590</v>
      </c>
      <c r="E334" s="9" t="s">
        <v>590</v>
      </c>
      <c r="F334" s="9"/>
      <c r="G334" s="9">
        <v>0</v>
      </c>
      <c r="H334" s="9"/>
      <c r="I334" s="9">
        <v>1</v>
      </c>
    </row>
    <row r="335" spans="1:9" x14ac:dyDescent="0.25">
      <c r="A335" s="9">
        <v>4</v>
      </c>
      <c r="B335" s="9" t="s">
        <v>591</v>
      </c>
      <c r="C335" s="9" t="s">
        <v>25</v>
      </c>
      <c r="D335" s="9" t="s">
        <v>592</v>
      </c>
      <c r="E335" s="9" t="s">
        <v>593</v>
      </c>
      <c r="F335" s="9" t="s">
        <v>594</v>
      </c>
      <c r="G335" s="9">
        <v>0</v>
      </c>
      <c r="H335" s="9"/>
      <c r="I335" s="9">
        <v>1</v>
      </c>
    </row>
    <row r="336" spans="1:9" x14ac:dyDescent="0.25">
      <c r="A336" s="9">
        <v>4</v>
      </c>
      <c r="B336" s="9" t="s">
        <v>595</v>
      </c>
      <c r="C336" s="9" t="s">
        <v>131</v>
      </c>
      <c r="D336" s="9"/>
      <c r="E336" s="9" t="s">
        <v>596</v>
      </c>
      <c r="F336" s="9" t="s">
        <v>468</v>
      </c>
      <c r="G336" s="9">
        <v>4.63545E-2</v>
      </c>
      <c r="H336" s="9" t="s">
        <v>586</v>
      </c>
      <c r="I336" s="9">
        <v>1</v>
      </c>
    </row>
    <row r="337" spans="1:9" x14ac:dyDescent="0.25">
      <c r="A337" s="9">
        <v>4</v>
      </c>
      <c r="B337" s="9" t="s">
        <v>597</v>
      </c>
      <c r="C337" s="9" t="s">
        <v>131</v>
      </c>
      <c r="D337" s="9" t="s">
        <v>598</v>
      </c>
      <c r="E337" s="9" t="s">
        <v>599</v>
      </c>
      <c r="F337" s="9" t="s">
        <v>599</v>
      </c>
      <c r="G337" s="9">
        <v>1.0209999999999999</v>
      </c>
      <c r="H337" s="9" t="s">
        <v>586</v>
      </c>
      <c r="I337" s="9">
        <v>1</v>
      </c>
    </row>
    <row r="338" spans="1:9" x14ac:dyDescent="0.25">
      <c r="A338" s="9">
        <v>4</v>
      </c>
      <c r="B338" s="9" t="s">
        <v>600</v>
      </c>
      <c r="C338" s="9" t="s">
        <v>131</v>
      </c>
      <c r="D338" s="9" t="s">
        <v>601</v>
      </c>
      <c r="E338" s="9" t="s">
        <v>594</v>
      </c>
      <c r="F338" s="9" t="s">
        <v>594</v>
      </c>
      <c r="G338" s="9">
        <v>1.6196599999999998E-2</v>
      </c>
      <c r="H338" s="9" t="s">
        <v>586</v>
      </c>
      <c r="I338" s="9">
        <v>1</v>
      </c>
    </row>
    <row r="339" spans="1:9" x14ac:dyDescent="0.25">
      <c r="A339" s="10">
        <v>3</v>
      </c>
      <c r="B339" s="10" t="s">
        <v>602</v>
      </c>
      <c r="C339" s="10" t="s">
        <v>70</v>
      </c>
      <c r="D339" s="10" t="s">
        <v>603</v>
      </c>
      <c r="E339" s="10" t="s">
        <v>603</v>
      </c>
      <c r="H339" s="10" t="s">
        <v>223</v>
      </c>
      <c r="I339" s="10">
        <v>1</v>
      </c>
    </row>
    <row r="340" spans="1:9" x14ac:dyDescent="0.25">
      <c r="A340" s="9">
        <v>4</v>
      </c>
      <c r="B340" s="9" t="s">
        <v>604</v>
      </c>
      <c r="C340" s="9" t="s">
        <v>40</v>
      </c>
      <c r="D340" s="9" t="s">
        <v>605</v>
      </c>
      <c r="E340" s="9" t="s">
        <v>606</v>
      </c>
      <c r="H340" s="9" t="s">
        <v>218</v>
      </c>
      <c r="I340" s="9">
        <v>1</v>
      </c>
    </row>
    <row r="341" spans="1:9" x14ac:dyDescent="0.25">
      <c r="A341" s="10">
        <v>5</v>
      </c>
      <c r="B341" s="10" t="s">
        <v>607</v>
      </c>
      <c r="C341" s="10" t="s">
        <v>40</v>
      </c>
      <c r="D341" s="10" t="s">
        <v>608</v>
      </c>
      <c r="E341" s="10" t="s">
        <v>609</v>
      </c>
      <c r="H341" s="10" t="s">
        <v>218</v>
      </c>
      <c r="I341" s="10">
        <v>1</v>
      </c>
    </row>
    <row r="342" spans="1:9" x14ac:dyDescent="0.25">
      <c r="A342" s="9">
        <v>6</v>
      </c>
      <c r="B342" s="9" t="s">
        <v>610</v>
      </c>
      <c r="C342" s="9" t="s">
        <v>40</v>
      </c>
      <c r="D342" s="9" t="s">
        <v>611</v>
      </c>
      <c r="E342" s="9" t="s">
        <v>22</v>
      </c>
      <c r="F342" s="9" t="s">
        <v>612</v>
      </c>
      <c r="G342" s="9">
        <v>0.13958400000000001</v>
      </c>
      <c r="H342" s="9" t="s">
        <v>613</v>
      </c>
      <c r="I342" s="9">
        <v>1</v>
      </c>
    </row>
    <row r="343" spans="1:9" x14ac:dyDescent="0.25">
      <c r="A343" s="9">
        <v>6</v>
      </c>
      <c r="B343" s="9" t="s">
        <v>51</v>
      </c>
      <c r="C343" s="9" t="s">
        <v>25</v>
      </c>
      <c r="D343" s="9" t="s">
        <v>52</v>
      </c>
      <c r="E343" s="9" t="s">
        <v>52</v>
      </c>
      <c r="F343" s="9" t="s">
        <v>27</v>
      </c>
      <c r="G343" s="9"/>
      <c r="H343" s="9"/>
      <c r="I343" s="9">
        <v>4</v>
      </c>
    </row>
    <row r="344" spans="1:9" x14ac:dyDescent="0.25">
      <c r="A344" s="9">
        <v>6</v>
      </c>
      <c r="B344" s="9" t="s">
        <v>75</v>
      </c>
      <c r="C344" s="9" t="s">
        <v>25</v>
      </c>
      <c r="D344" s="9" t="s">
        <v>76</v>
      </c>
      <c r="E344" s="9" t="s">
        <v>76</v>
      </c>
      <c r="F344" s="9" t="s">
        <v>27</v>
      </c>
      <c r="G344" s="9"/>
      <c r="H344" s="9"/>
      <c r="I344" s="9">
        <v>4</v>
      </c>
    </row>
    <row r="345" spans="1:9" x14ac:dyDescent="0.25">
      <c r="A345" s="9">
        <v>6</v>
      </c>
      <c r="B345" s="9" t="s">
        <v>49</v>
      </c>
      <c r="C345" s="9" t="s">
        <v>25</v>
      </c>
      <c r="D345" s="9" t="s">
        <v>50</v>
      </c>
      <c r="E345" s="9" t="s">
        <v>50</v>
      </c>
      <c r="F345" s="9" t="s">
        <v>27</v>
      </c>
      <c r="G345" s="9"/>
      <c r="H345" s="9"/>
      <c r="I345" s="9">
        <v>6</v>
      </c>
    </row>
    <row r="346" spans="1:9" x14ac:dyDescent="0.25">
      <c r="A346" s="10">
        <v>5</v>
      </c>
      <c r="B346" s="10" t="s">
        <v>614</v>
      </c>
      <c r="C346" s="10" t="s">
        <v>40</v>
      </c>
      <c r="D346" s="10" t="s">
        <v>483</v>
      </c>
      <c r="E346" s="10" t="s">
        <v>483</v>
      </c>
      <c r="F346" s="10" t="s">
        <v>297</v>
      </c>
      <c r="G346" s="10">
        <v>0.119005</v>
      </c>
      <c r="H346" s="10" t="s">
        <v>289</v>
      </c>
      <c r="I346" s="10">
        <v>1</v>
      </c>
    </row>
    <row r="347" spans="1:9" x14ac:dyDescent="0.25">
      <c r="A347" s="10">
        <v>5</v>
      </c>
      <c r="B347" s="10" t="s">
        <v>615</v>
      </c>
      <c r="C347" s="10" t="s">
        <v>40</v>
      </c>
      <c r="D347" s="10" t="s">
        <v>616</v>
      </c>
      <c r="E347" s="10" t="s">
        <v>617</v>
      </c>
      <c r="F347" s="10" t="s">
        <v>618</v>
      </c>
      <c r="G347" s="10">
        <v>4.8652599999999997E-3</v>
      </c>
      <c r="H347" s="10" t="s">
        <v>165</v>
      </c>
      <c r="I347" s="10">
        <v>1</v>
      </c>
    </row>
    <row r="348" spans="1:9" x14ac:dyDescent="0.25">
      <c r="A348" s="10">
        <v>5</v>
      </c>
      <c r="B348" s="10" t="s">
        <v>619</v>
      </c>
      <c r="C348" s="10" t="s">
        <v>35</v>
      </c>
      <c r="D348" s="10" t="s">
        <v>620</v>
      </c>
      <c r="E348" s="10" t="s">
        <v>620</v>
      </c>
      <c r="H348" s="10"/>
      <c r="I348" s="10">
        <v>1</v>
      </c>
    </row>
    <row r="349" spans="1:9" x14ac:dyDescent="0.25">
      <c r="A349" s="9">
        <v>6</v>
      </c>
      <c r="B349" s="9" t="s">
        <v>621</v>
      </c>
      <c r="C349" s="9" t="s">
        <v>25</v>
      </c>
      <c r="D349" s="9"/>
      <c r="E349" s="9" t="s">
        <v>622</v>
      </c>
      <c r="F349" s="9" t="s">
        <v>176</v>
      </c>
      <c r="G349" s="9"/>
      <c r="H349" s="9"/>
      <c r="I349" s="9">
        <v>1</v>
      </c>
    </row>
    <row r="350" spans="1:9" x14ac:dyDescent="0.25">
      <c r="A350" s="9">
        <v>6</v>
      </c>
      <c r="B350" s="9" t="s">
        <v>623</v>
      </c>
      <c r="C350" s="9" t="s">
        <v>35</v>
      </c>
      <c r="D350" s="9" t="s">
        <v>624</v>
      </c>
      <c r="E350" s="9" t="s">
        <v>625</v>
      </c>
      <c r="F350" s="9" t="s">
        <v>101</v>
      </c>
      <c r="G350" s="9">
        <v>1.1731999999999999E-2</v>
      </c>
      <c r="H350" s="9"/>
      <c r="I350" s="9">
        <v>1</v>
      </c>
    </row>
    <row r="351" spans="1:9" x14ac:dyDescent="0.25">
      <c r="A351" s="9">
        <v>6</v>
      </c>
      <c r="B351" s="9" t="s">
        <v>626</v>
      </c>
      <c r="C351" s="9" t="s">
        <v>35</v>
      </c>
      <c r="D351" s="9" t="s">
        <v>624</v>
      </c>
      <c r="E351" s="9" t="s">
        <v>625</v>
      </c>
      <c r="F351" s="9" t="s">
        <v>101</v>
      </c>
      <c r="G351" s="9">
        <v>1.16141E-2</v>
      </c>
      <c r="H351" s="9"/>
      <c r="I351" s="9">
        <v>1</v>
      </c>
    </row>
    <row r="352" spans="1:9" x14ac:dyDescent="0.25">
      <c r="A352" s="9">
        <v>6</v>
      </c>
      <c r="B352" s="9" t="s">
        <v>199</v>
      </c>
      <c r="C352" s="9" t="s">
        <v>25</v>
      </c>
      <c r="D352" s="9"/>
      <c r="E352" s="9" t="s">
        <v>200</v>
      </c>
      <c r="F352" s="9" t="s">
        <v>27</v>
      </c>
      <c r="G352" s="9"/>
      <c r="H352" s="9"/>
      <c r="I352" s="9">
        <v>2</v>
      </c>
    </row>
    <row r="353" spans="1:9" ht="75" x14ac:dyDescent="0.25">
      <c r="A353" s="9">
        <v>6</v>
      </c>
      <c r="B353" s="9" t="s">
        <v>627</v>
      </c>
      <c r="C353" s="9" t="s">
        <v>25</v>
      </c>
      <c r="D353" s="11" t="s">
        <v>628</v>
      </c>
      <c r="E353" s="9" t="s">
        <v>629</v>
      </c>
      <c r="F353" s="9"/>
      <c r="G353" s="9">
        <v>0</v>
      </c>
      <c r="H353" s="9"/>
      <c r="I353" s="9">
        <v>2</v>
      </c>
    </row>
    <row r="354" spans="1:9" x14ac:dyDescent="0.25">
      <c r="A354" s="9">
        <v>6</v>
      </c>
      <c r="B354" s="9" t="s">
        <v>630</v>
      </c>
      <c r="C354" s="9" t="s">
        <v>25</v>
      </c>
      <c r="D354" s="9" t="s">
        <v>631</v>
      </c>
      <c r="E354" s="9" t="s">
        <v>631</v>
      </c>
      <c r="F354" s="9" t="s">
        <v>101</v>
      </c>
      <c r="G354" s="14">
        <v>7.2727799999999998E-5</v>
      </c>
      <c r="H354" s="9"/>
      <c r="I354" s="9">
        <v>4</v>
      </c>
    </row>
    <row r="355" spans="1:9" x14ac:dyDescent="0.25">
      <c r="A355" s="10">
        <v>5</v>
      </c>
      <c r="B355" s="10" t="s">
        <v>632</v>
      </c>
      <c r="C355" s="10" t="s">
        <v>29</v>
      </c>
      <c r="D355" s="10" t="s">
        <v>633</v>
      </c>
      <c r="E355" s="10" t="s">
        <v>198</v>
      </c>
      <c r="F355" s="10" t="s">
        <v>335</v>
      </c>
      <c r="G355" s="10">
        <v>1.2777699999999999E-2</v>
      </c>
      <c r="H355" s="10" t="s">
        <v>102</v>
      </c>
      <c r="I355" s="10">
        <v>1</v>
      </c>
    </row>
    <row r="356" spans="1:9" x14ac:dyDescent="0.25">
      <c r="A356" s="10">
        <v>5</v>
      </c>
      <c r="B356" s="10" t="s">
        <v>634</v>
      </c>
      <c r="C356" s="10" t="s">
        <v>29</v>
      </c>
      <c r="D356" s="10" t="s">
        <v>635</v>
      </c>
      <c r="E356" s="10" t="s">
        <v>636</v>
      </c>
      <c r="F356" s="10" t="s">
        <v>335</v>
      </c>
      <c r="G356" s="10">
        <v>1.2777699999999999E-2</v>
      </c>
      <c r="H356" s="10" t="s">
        <v>102</v>
      </c>
      <c r="I356" s="10">
        <v>1</v>
      </c>
    </row>
    <row r="357" spans="1:9" x14ac:dyDescent="0.25">
      <c r="A357" s="10">
        <v>5</v>
      </c>
      <c r="B357" s="10" t="s">
        <v>637</v>
      </c>
      <c r="C357" s="10" t="s">
        <v>40</v>
      </c>
      <c r="D357" s="10" t="s">
        <v>638</v>
      </c>
      <c r="E357" s="10" t="s">
        <v>638</v>
      </c>
      <c r="F357" s="10" t="s">
        <v>292</v>
      </c>
      <c r="G357" s="10">
        <v>5.9719700000000001E-2</v>
      </c>
      <c r="H357" s="10" t="s">
        <v>289</v>
      </c>
      <c r="I357" s="10">
        <v>1</v>
      </c>
    </row>
    <row r="358" spans="1:9" x14ac:dyDescent="0.25">
      <c r="A358" s="10">
        <v>5</v>
      </c>
      <c r="B358" s="10" t="s">
        <v>639</v>
      </c>
      <c r="C358" s="10" t="s">
        <v>29</v>
      </c>
      <c r="D358" s="10" t="s">
        <v>635</v>
      </c>
      <c r="E358" s="10" t="s">
        <v>198</v>
      </c>
      <c r="F358" s="10" t="s">
        <v>335</v>
      </c>
      <c r="G358" s="10">
        <v>1.09949E-2</v>
      </c>
      <c r="H358" s="10" t="s">
        <v>102</v>
      </c>
      <c r="I358" s="10">
        <v>2</v>
      </c>
    </row>
    <row r="359" spans="1:9" x14ac:dyDescent="0.25">
      <c r="A359" s="10">
        <v>5</v>
      </c>
      <c r="B359" s="10" t="s">
        <v>640</v>
      </c>
      <c r="C359" s="10" t="s">
        <v>40</v>
      </c>
      <c r="D359" s="10" t="s">
        <v>641</v>
      </c>
      <c r="E359" s="10" t="s">
        <v>642</v>
      </c>
      <c r="F359" s="10" t="s">
        <v>618</v>
      </c>
      <c r="G359" s="10">
        <v>1.29988E-3</v>
      </c>
      <c r="H359" s="10" t="s">
        <v>165</v>
      </c>
      <c r="I359" s="10">
        <v>2</v>
      </c>
    </row>
    <row r="360" spans="1:9" x14ac:dyDescent="0.25">
      <c r="A360" s="10">
        <v>5</v>
      </c>
      <c r="B360" s="10" t="s">
        <v>643</v>
      </c>
      <c r="C360" s="10" t="s">
        <v>25</v>
      </c>
      <c r="D360" s="10" t="s">
        <v>644</v>
      </c>
      <c r="E360" s="10" t="s">
        <v>645</v>
      </c>
      <c r="F360" s="10" t="s">
        <v>176</v>
      </c>
      <c r="G360" s="10">
        <v>6.4565899999999996E-2</v>
      </c>
      <c r="H360" s="10"/>
      <c r="I360" s="10">
        <v>2</v>
      </c>
    </row>
    <row r="361" spans="1:9" x14ac:dyDescent="0.25">
      <c r="A361" s="10">
        <v>5</v>
      </c>
      <c r="B361" s="10" t="s">
        <v>646</v>
      </c>
      <c r="C361" s="10" t="s">
        <v>25</v>
      </c>
      <c r="D361" s="10" t="s">
        <v>647</v>
      </c>
      <c r="E361" s="10" t="s">
        <v>647</v>
      </c>
      <c r="F361" s="10"/>
      <c r="G361" s="10">
        <v>0</v>
      </c>
      <c r="H361" s="10"/>
      <c r="I361" s="10">
        <v>2</v>
      </c>
    </row>
    <row r="362" spans="1:9" x14ac:dyDescent="0.25">
      <c r="A362" s="10">
        <v>5</v>
      </c>
      <c r="B362" s="10" t="s">
        <v>648</v>
      </c>
      <c r="C362" s="10" t="s">
        <v>78</v>
      </c>
      <c r="D362" s="10" t="s">
        <v>649</v>
      </c>
      <c r="E362" s="10" t="s">
        <v>649</v>
      </c>
      <c r="F362" s="10" t="s">
        <v>335</v>
      </c>
      <c r="G362" s="10">
        <v>9.8516200000000002E-3</v>
      </c>
      <c r="H362" s="10"/>
      <c r="I362" s="10">
        <v>2</v>
      </c>
    </row>
    <row r="363" spans="1:9" x14ac:dyDescent="0.25">
      <c r="A363" s="10">
        <v>5</v>
      </c>
      <c r="B363" s="10" t="s">
        <v>8</v>
      </c>
      <c r="C363" s="10" t="s">
        <v>25</v>
      </c>
      <c r="D363" s="10"/>
      <c r="E363" s="10" t="s">
        <v>9</v>
      </c>
      <c r="F363" s="10" t="s">
        <v>27</v>
      </c>
      <c r="G363" s="10"/>
      <c r="H363" s="10"/>
      <c r="I363" s="10">
        <v>4</v>
      </c>
    </row>
    <row r="364" spans="1:9" x14ac:dyDescent="0.25">
      <c r="A364" s="10">
        <v>5</v>
      </c>
      <c r="B364" s="10" t="s">
        <v>650</v>
      </c>
      <c r="C364" s="10" t="s">
        <v>25</v>
      </c>
      <c r="D364" s="10"/>
      <c r="E364" s="10" t="s">
        <v>5</v>
      </c>
      <c r="F364" s="10" t="s">
        <v>27</v>
      </c>
      <c r="G364" s="10"/>
      <c r="H364" s="10"/>
      <c r="I364" s="10">
        <v>10</v>
      </c>
    </row>
    <row r="365" spans="1:9" x14ac:dyDescent="0.25">
      <c r="A365" s="10">
        <v>5</v>
      </c>
      <c r="B365" s="10" t="s">
        <v>253</v>
      </c>
      <c r="C365" s="10" t="s">
        <v>25</v>
      </c>
      <c r="D365" s="10" t="s">
        <v>254</v>
      </c>
      <c r="E365" s="10" t="s">
        <v>254</v>
      </c>
      <c r="F365" s="10" t="s">
        <v>27</v>
      </c>
      <c r="G365" s="10"/>
      <c r="H365" s="10"/>
      <c r="I365" s="10">
        <v>10</v>
      </c>
    </row>
    <row r="366" spans="1:9" x14ac:dyDescent="0.25">
      <c r="A366" s="9">
        <v>4</v>
      </c>
      <c r="B366" s="9" t="s">
        <v>651</v>
      </c>
      <c r="C366" s="9" t="s">
        <v>25</v>
      </c>
      <c r="D366" s="9"/>
      <c r="E366" s="9" t="s">
        <v>652</v>
      </c>
      <c r="F366" s="9" t="s">
        <v>499</v>
      </c>
      <c r="G366" s="14">
        <v>3.8372999999999998E-10</v>
      </c>
      <c r="H366" s="9"/>
      <c r="I366" s="9">
        <v>1</v>
      </c>
    </row>
    <row r="367" spans="1:9" x14ac:dyDescent="0.25">
      <c r="A367" s="9">
        <v>4</v>
      </c>
      <c r="B367" s="9" t="s">
        <v>653</v>
      </c>
      <c r="C367" s="9" t="s">
        <v>25</v>
      </c>
      <c r="D367" s="9"/>
      <c r="E367" s="9" t="s">
        <v>654</v>
      </c>
      <c r="F367" s="9" t="s">
        <v>27</v>
      </c>
      <c r="G367" s="9"/>
      <c r="H367" s="9"/>
      <c r="I367" s="9">
        <v>2</v>
      </c>
    </row>
    <row r="368" spans="1:9" ht="135" x14ac:dyDescent="0.25">
      <c r="A368" s="9">
        <v>4</v>
      </c>
      <c r="B368" s="9" t="s">
        <v>655</v>
      </c>
      <c r="C368" s="9" t="s">
        <v>29</v>
      </c>
      <c r="D368" s="11" t="s">
        <v>656</v>
      </c>
      <c r="E368" s="9" t="s">
        <v>657</v>
      </c>
      <c r="F368" s="9" t="s">
        <v>658</v>
      </c>
      <c r="G368" s="9">
        <v>1.2963000000000001E-2</v>
      </c>
      <c r="H368" s="9"/>
      <c r="I368" s="9">
        <v>2</v>
      </c>
    </row>
    <row r="369" spans="1:9" x14ac:dyDescent="0.25">
      <c r="A369" s="9">
        <v>4</v>
      </c>
      <c r="B369" s="9" t="s">
        <v>650</v>
      </c>
      <c r="C369" s="9" t="s">
        <v>25</v>
      </c>
      <c r="D369" s="9"/>
      <c r="E369" s="9" t="s">
        <v>5</v>
      </c>
      <c r="F369" s="9" t="s">
        <v>27</v>
      </c>
      <c r="G369" s="9"/>
      <c r="H369" s="9"/>
      <c r="I369" s="9">
        <v>4</v>
      </c>
    </row>
    <row r="370" spans="1:9" x14ac:dyDescent="0.25">
      <c r="A370" s="9">
        <v>4</v>
      </c>
      <c r="B370" s="9" t="s">
        <v>253</v>
      </c>
      <c r="C370" s="9" t="s">
        <v>25</v>
      </c>
      <c r="D370" s="9" t="s">
        <v>254</v>
      </c>
      <c r="E370" s="9" t="s">
        <v>254</v>
      </c>
      <c r="F370" s="9" t="s">
        <v>27</v>
      </c>
      <c r="G370" s="9"/>
      <c r="H370" s="9"/>
      <c r="I370" s="9">
        <v>4</v>
      </c>
    </row>
    <row r="371" spans="1:9" x14ac:dyDescent="0.25">
      <c r="A371" s="9">
        <v>4</v>
      </c>
      <c r="B371" s="9" t="s">
        <v>659</v>
      </c>
      <c r="C371" s="9" t="s">
        <v>25</v>
      </c>
      <c r="D371" s="9"/>
      <c r="E371" s="9" t="s">
        <v>654</v>
      </c>
      <c r="F371" s="9" t="s">
        <v>27</v>
      </c>
      <c r="G371" s="9"/>
      <c r="H371" s="9"/>
      <c r="I371" s="9">
        <v>6</v>
      </c>
    </row>
    <row r="372" spans="1:9" x14ac:dyDescent="0.25">
      <c r="A372" s="10">
        <v>3</v>
      </c>
      <c r="B372" s="10" t="s">
        <v>660</v>
      </c>
      <c r="C372" s="10" t="s">
        <v>485</v>
      </c>
      <c r="D372" s="10" t="s">
        <v>661</v>
      </c>
      <c r="E372" s="10" t="s">
        <v>662</v>
      </c>
      <c r="H372" s="10" t="s">
        <v>102</v>
      </c>
      <c r="I372" s="10">
        <v>1</v>
      </c>
    </row>
    <row r="373" spans="1:9" x14ac:dyDescent="0.25">
      <c r="A373" s="9">
        <v>4</v>
      </c>
      <c r="B373" s="9" t="s">
        <v>663</v>
      </c>
      <c r="C373" s="9" t="s">
        <v>485</v>
      </c>
      <c r="D373" s="9" t="s">
        <v>664</v>
      </c>
      <c r="E373" s="9" t="s">
        <v>198</v>
      </c>
      <c r="F373" s="9" t="s">
        <v>101</v>
      </c>
      <c r="G373" s="9">
        <v>8.7245699999999995E-2</v>
      </c>
      <c r="H373" s="9" t="s">
        <v>102</v>
      </c>
      <c r="I373" s="9">
        <v>1</v>
      </c>
    </row>
    <row r="374" spans="1:9" x14ac:dyDescent="0.25">
      <c r="A374" s="9">
        <v>4</v>
      </c>
      <c r="B374" s="9" t="s">
        <v>665</v>
      </c>
      <c r="C374" s="9" t="s">
        <v>25</v>
      </c>
      <c r="D374" s="9"/>
      <c r="E374" s="9" t="s">
        <v>666</v>
      </c>
      <c r="F374" s="9" t="s">
        <v>27</v>
      </c>
      <c r="G374" s="9"/>
      <c r="H374" s="9"/>
      <c r="I374" s="9">
        <v>6</v>
      </c>
    </row>
    <row r="375" spans="1:9" x14ac:dyDescent="0.25">
      <c r="A375" s="9">
        <v>4</v>
      </c>
      <c r="B375" s="9" t="s">
        <v>667</v>
      </c>
      <c r="C375" s="9" t="s">
        <v>25</v>
      </c>
      <c r="D375" s="9"/>
      <c r="E375" s="9" t="s">
        <v>631</v>
      </c>
      <c r="F375" s="9" t="s">
        <v>101</v>
      </c>
      <c r="G375" s="9"/>
      <c r="H375" s="9"/>
      <c r="I375" s="9">
        <v>12</v>
      </c>
    </row>
    <row r="376" spans="1:9" x14ac:dyDescent="0.25">
      <c r="A376" s="10">
        <v>3</v>
      </c>
      <c r="B376" s="10" t="s">
        <v>261</v>
      </c>
      <c r="C376" s="10" t="s">
        <v>25</v>
      </c>
      <c r="D376" s="10"/>
      <c r="E376" s="10" t="s">
        <v>9</v>
      </c>
      <c r="F376" s="10" t="s">
        <v>27</v>
      </c>
      <c r="G376" s="10"/>
      <c r="H376" s="10"/>
      <c r="I376" s="10">
        <v>2</v>
      </c>
    </row>
    <row r="377" spans="1:9" x14ac:dyDescent="0.25">
      <c r="A377" s="10">
        <v>3</v>
      </c>
      <c r="B377" s="10" t="s">
        <v>668</v>
      </c>
      <c r="C377" s="10" t="s">
        <v>25</v>
      </c>
      <c r="D377" s="10"/>
      <c r="E377" s="10" t="s">
        <v>669</v>
      </c>
      <c r="F377" s="10" t="s">
        <v>27</v>
      </c>
      <c r="G377" s="10"/>
      <c r="H377" s="10"/>
      <c r="I377" s="10">
        <v>3</v>
      </c>
    </row>
    <row r="378" spans="1:9" x14ac:dyDescent="0.25">
      <c r="A378" s="10">
        <v>3</v>
      </c>
      <c r="B378" s="10" t="s">
        <v>670</v>
      </c>
      <c r="C378" s="10" t="s">
        <v>25</v>
      </c>
      <c r="D378" s="10"/>
      <c r="E378" s="10" t="s">
        <v>671</v>
      </c>
      <c r="F378" s="10" t="s">
        <v>27</v>
      </c>
      <c r="G378" s="10"/>
      <c r="H378" s="10"/>
      <c r="I378" s="10">
        <v>3</v>
      </c>
    </row>
    <row r="379" spans="1:9" x14ac:dyDescent="0.25">
      <c r="A379" s="10">
        <v>3</v>
      </c>
      <c r="B379" s="10" t="s">
        <v>672</v>
      </c>
      <c r="C379" s="10" t="s">
        <v>25</v>
      </c>
      <c r="D379" s="10"/>
      <c r="E379" s="10" t="s">
        <v>673</v>
      </c>
      <c r="F379" s="10" t="s">
        <v>27</v>
      </c>
      <c r="G379" s="10"/>
      <c r="H379" s="10"/>
      <c r="I379" s="10">
        <v>4</v>
      </c>
    </row>
    <row r="380" spans="1:9" x14ac:dyDescent="0.25">
      <c r="A380" s="10">
        <v>3</v>
      </c>
      <c r="B380" s="10" t="s">
        <v>674</v>
      </c>
      <c r="C380" s="10" t="s">
        <v>25</v>
      </c>
      <c r="D380" s="10" t="s">
        <v>675</v>
      </c>
      <c r="E380" s="10" t="s">
        <v>675</v>
      </c>
      <c r="F380" s="10" t="s">
        <v>27</v>
      </c>
      <c r="G380" s="10"/>
      <c r="H380" s="10"/>
      <c r="I380" s="10">
        <v>5</v>
      </c>
    </row>
    <row r="381" spans="1:9" x14ac:dyDescent="0.25">
      <c r="A381" s="10">
        <v>3</v>
      </c>
      <c r="B381" s="10" t="s">
        <v>676</v>
      </c>
      <c r="C381" s="10" t="s">
        <v>25</v>
      </c>
      <c r="D381" s="10"/>
      <c r="E381" s="10" t="s">
        <v>677</v>
      </c>
      <c r="F381" s="10" t="s">
        <v>678</v>
      </c>
      <c r="G381" s="10">
        <v>5.1305800000000005E-4</v>
      </c>
      <c r="H381" s="10" t="s">
        <v>165</v>
      </c>
      <c r="I381" s="10">
        <v>7</v>
      </c>
    </row>
    <row r="382" spans="1:9" x14ac:dyDescent="0.25">
      <c r="A382" s="10">
        <v>3</v>
      </c>
      <c r="B382" s="10" t="s">
        <v>679</v>
      </c>
      <c r="C382" s="10" t="s">
        <v>25</v>
      </c>
      <c r="D382" s="10"/>
      <c r="E382" s="10" t="s">
        <v>680</v>
      </c>
      <c r="F382" s="10" t="s">
        <v>27</v>
      </c>
      <c r="G382" s="10"/>
      <c r="H382" s="10"/>
      <c r="I382" s="10">
        <v>7</v>
      </c>
    </row>
    <row r="383" spans="1:9" x14ac:dyDescent="0.25">
      <c r="A383" s="10">
        <v>3</v>
      </c>
      <c r="B383" s="10" t="s">
        <v>681</v>
      </c>
      <c r="C383" s="10" t="s">
        <v>25</v>
      </c>
      <c r="D383" s="10"/>
      <c r="E383" s="10" t="s">
        <v>671</v>
      </c>
      <c r="F383" s="10" t="s">
        <v>27</v>
      </c>
      <c r="G383" s="10"/>
      <c r="H383" s="10"/>
      <c r="I383" s="10">
        <v>8</v>
      </c>
    </row>
    <row r="384" spans="1:9" x14ac:dyDescent="0.25">
      <c r="A384" s="10">
        <v>3</v>
      </c>
      <c r="B384" s="10" t="s">
        <v>6</v>
      </c>
      <c r="C384" s="10" t="s">
        <v>35</v>
      </c>
      <c r="D384" s="10"/>
      <c r="E384" s="10" t="s">
        <v>7</v>
      </c>
      <c r="F384" s="10" t="s">
        <v>27</v>
      </c>
      <c r="G384" s="10"/>
      <c r="H384" s="10"/>
      <c r="I384" s="10">
        <v>8</v>
      </c>
    </row>
    <row r="385" spans="1:9" x14ac:dyDescent="0.25">
      <c r="A385" s="10">
        <v>3</v>
      </c>
      <c r="B385" s="10" t="s">
        <v>682</v>
      </c>
      <c r="C385" s="10" t="s">
        <v>25</v>
      </c>
      <c r="D385" s="10"/>
      <c r="E385" s="10" t="s">
        <v>671</v>
      </c>
      <c r="F385" s="10" t="s">
        <v>27</v>
      </c>
      <c r="G385" s="10"/>
      <c r="H385" s="10"/>
      <c r="I385" s="10">
        <v>8</v>
      </c>
    </row>
    <row r="386" spans="1:9" x14ac:dyDescent="0.25">
      <c r="A386" s="10">
        <v>3</v>
      </c>
      <c r="B386" s="10" t="s">
        <v>259</v>
      </c>
      <c r="C386" s="10" t="s">
        <v>35</v>
      </c>
      <c r="D386" s="10"/>
      <c r="E386" s="10" t="s">
        <v>260</v>
      </c>
      <c r="F386" s="10" t="s">
        <v>27</v>
      </c>
      <c r="G386" s="10">
        <v>3.5726600000000002E-4</v>
      </c>
      <c r="H386" s="10"/>
      <c r="I386" s="10">
        <v>8</v>
      </c>
    </row>
    <row r="387" spans="1:9" x14ac:dyDescent="0.25">
      <c r="A387" s="10">
        <v>3</v>
      </c>
      <c r="B387" s="10" t="s">
        <v>683</v>
      </c>
      <c r="C387" s="10" t="s">
        <v>25</v>
      </c>
      <c r="D387" s="10"/>
      <c r="E387" s="10" t="s">
        <v>671</v>
      </c>
      <c r="F387" s="10" t="s">
        <v>27</v>
      </c>
      <c r="G387" s="10"/>
      <c r="H387" s="10"/>
      <c r="I387" s="10">
        <v>12</v>
      </c>
    </row>
    <row r="388" spans="1:9" x14ac:dyDescent="0.25">
      <c r="A388" s="10">
        <v>3</v>
      </c>
      <c r="B388" s="10" t="s">
        <v>8</v>
      </c>
      <c r="C388" s="10" t="s">
        <v>25</v>
      </c>
      <c r="D388" s="10"/>
      <c r="E388" s="10" t="s">
        <v>9</v>
      </c>
      <c r="F388" s="10" t="s">
        <v>27</v>
      </c>
      <c r="G388" s="10"/>
      <c r="H388" s="10"/>
      <c r="I388" s="10">
        <v>18</v>
      </c>
    </row>
    <row r="389" spans="1:9" x14ac:dyDescent="0.25">
      <c r="A389" s="9">
        <v>2</v>
      </c>
      <c r="B389" s="9" t="s">
        <v>684</v>
      </c>
      <c r="C389" s="9" t="s">
        <v>685</v>
      </c>
      <c r="D389" s="9" t="s">
        <v>686</v>
      </c>
      <c r="E389" s="9" t="s">
        <v>687</v>
      </c>
      <c r="H389" s="9" t="s">
        <v>218</v>
      </c>
      <c r="I389" s="9">
        <v>1</v>
      </c>
    </row>
    <row r="390" spans="1:9" x14ac:dyDescent="0.25">
      <c r="A390" s="10">
        <v>3</v>
      </c>
      <c r="B390" s="10" t="s">
        <v>688</v>
      </c>
      <c r="C390" s="10" t="s">
        <v>40</v>
      </c>
      <c r="D390" s="10" t="s">
        <v>689</v>
      </c>
      <c r="E390" s="10" t="s">
        <v>690</v>
      </c>
      <c r="H390" s="10" t="s">
        <v>223</v>
      </c>
      <c r="I390" s="10">
        <v>1</v>
      </c>
    </row>
    <row r="391" spans="1:9" x14ac:dyDescent="0.25">
      <c r="A391" s="9">
        <v>4</v>
      </c>
      <c r="B391" s="9" t="s">
        <v>691</v>
      </c>
      <c r="C391" s="9" t="s">
        <v>25</v>
      </c>
      <c r="D391" s="9"/>
      <c r="E391" s="9" t="s">
        <v>692</v>
      </c>
      <c r="F391" s="9" t="s">
        <v>335</v>
      </c>
      <c r="G391" s="9">
        <v>9.2577000000000007E-3</v>
      </c>
      <c r="H391" s="9" t="s">
        <v>102</v>
      </c>
      <c r="I391" s="9">
        <v>1</v>
      </c>
    </row>
    <row r="392" spans="1:9" x14ac:dyDescent="0.25">
      <c r="A392" s="9">
        <v>4</v>
      </c>
      <c r="B392" s="9" t="s">
        <v>693</v>
      </c>
      <c r="C392" s="9" t="s">
        <v>40</v>
      </c>
      <c r="D392" s="9" t="s">
        <v>694</v>
      </c>
      <c r="E392" s="9" t="s">
        <v>694</v>
      </c>
      <c r="H392" s="9" t="s">
        <v>223</v>
      </c>
      <c r="I392" s="9">
        <v>1</v>
      </c>
    </row>
    <row r="393" spans="1:9" x14ac:dyDescent="0.25">
      <c r="A393" s="10">
        <v>5</v>
      </c>
      <c r="B393" s="10" t="s">
        <v>695</v>
      </c>
      <c r="C393" s="10" t="s">
        <v>40</v>
      </c>
      <c r="D393" s="10" t="s">
        <v>696</v>
      </c>
      <c r="E393" s="10" t="s">
        <v>696</v>
      </c>
      <c r="F393" s="10" t="s">
        <v>101</v>
      </c>
      <c r="G393" s="10">
        <v>9.2841000000000007E-2</v>
      </c>
      <c r="H393" s="10" t="s">
        <v>250</v>
      </c>
      <c r="I393" s="10">
        <v>1</v>
      </c>
    </row>
    <row r="394" spans="1:9" x14ac:dyDescent="0.25">
      <c r="A394" s="10">
        <v>5</v>
      </c>
      <c r="B394" s="10" t="s">
        <v>697</v>
      </c>
      <c r="C394" s="10" t="s">
        <v>40</v>
      </c>
      <c r="D394" s="10" t="s">
        <v>696</v>
      </c>
      <c r="E394" s="10" t="s">
        <v>696</v>
      </c>
      <c r="F394" s="10" t="s">
        <v>101</v>
      </c>
      <c r="G394" s="10">
        <v>7.7191200000000001E-2</v>
      </c>
      <c r="H394" s="10" t="s">
        <v>250</v>
      </c>
      <c r="I394" s="10">
        <v>1</v>
      </c>
    </row>
    <row r="395" spans="1:9" x14ac:dyDescent="0.25">
      <c r="A395" s="10">
        <v>5</v>
      </c>
      <c r="B395" s="10" t="s">
        <v>698</v>
      </c>
      <c r="C395" s="10" t="s">
        <v>40</v>
      </c>
      <c r="D395" s="10" t="s">
        <v>699</v>
      </c>
      <c r="E395" s="10" t="s">
        <v>699</v>
      </c>
      <c r="F395" s="10" t="s">
        <v>700</v>
      </c>
      <c r="G395" s="10">
        <v>0.119308</v>
      </c>
      <c r="H395" s="10" t="s">
        <v>250</v>
      </c>
      <c r="I395" s="10">
        <v>1</v>
      </c>
    </row>
    <row r="396" spans="1:9" x14ac:dyDescent="0.25">
      <c r="A396" s="10">
        <v>5</v>
      </c>
      <c r="B396" s="10" t="s">
        <v>701</v>
      </c>
      <c r="C396" s="10" t="s">
        <v>40</v>
      </c>
      <c r="D396" s="10" t="s">
        <v>696</v>
      </c>
      <c r="E396" s="10" t="s">
        <v>696</v>
      </c>
      <c r="F396" s="10" t="s">
        <v>101</v>
      </c>
      <c r="G396" s="10">
        <v>1.7346900000000001E-3</v>
      </c>
      <c r="H396" s="10" t="s">
        <v>250</v>
      </c>
      <c r="I396" s="10">
        <v>2</v>
      </c>
    </row>
    <row r="397" spans="1:9" x14ac:dyDescent="0.25">
      <c r="A397" s="9">
        <v>4</v>
      </c>
      <c r="B397" s="9" t="s">
        <v>702</v>
      </c>
      <c r="C397" s="9" t="s">
        <v>40</v>
      </c>
      <c r="D397" s="9" t="s">
        <v>702</v>
      </c>
      <c r="E397" s="9" t="s">
        <v>594</v>
      </c>
      <c r="F397" s="9" t="s">
        <v>594</v>
      </c>
      <c r="G397" s="9">
        <v>3.1538899999999999E-3</v>
      </c>
      <c r="H397" s="9" t="s">
        <v>165</v>
      </c>
      <c r="I397" s="9">
        <v>1</v>
      </c>
    </row>
    <row r="398" spans="1:9" x14ac:dyDescent="0.25">
      <c r="A398" s="9">
        <v>4</v>
      </c>
      <c r="B398" s="9" t="s">
        <v>703</v>
      </c>
      <c r="C398" s="9" t="s">
        <v>25</v>
      </c>
      <c r="D398" s="9"/>
      <c r="E398" s="9" t="s">
        <v>704</v>
      </c>
      <c r="F398" s="9" t="s">
        <v>101</v>
      </c>
      <c r="G398" s="9"/>
      <c r="H398" s="9"/>
      <c r="I398" s="9">
        <v>2</v>
      </c>
    </row>
    <row r="399" spans="1:9" x14ac:dyDescent="0.25">
      <c r="A399" s="10">
        <v>3</v>
      </c>
      <c r="B399" s="10" t="s">
        <v>705</v>
      </c>
      <c r="C399" s="10" t="s">
        <v>78</v>
      </c>
      <c r="D399" s="10" t="s">
        <v>706</v>
      </c>
      <c r="E399" s="10" t="s">
        <v>706</v>
      </c>
      <c r="H399" s="10"/>
      <c r="I399" s="10">
        <v>1</v>
      </c>
    </row>
    <row r="400" spans="1:9" x14ac:dyDescent="0.25">
      <c r="A400" s="9">
        <v>4</v>
      </c>
      <c r="B400" s="9" t="s">
        <v>707</v>
      </c>
      <c r="C400" s="9" t="s">
        <v>35</v>
      </c>
      <c r="D400" s="9" t="s">
        <v>345</v>
      </c>
      <c r="E400" s="9" t="s">
        <v>345</v>
      </c>
      <c r="H400" s="9"/>
      <c r="I400" s="9">
        <v>1</v>
      </c>
    </row>
    <row r="401" spans="1:9" x14ac:dyDescent="0.25">
      <c r="A401" s="10">
        <v>5</v>
      </c>
      <c r="B401" s="10" t="s">
        <v>708</v>
      </c>
      <c r="C401" s="10" t="s">
        <v>35</v>
      </c>
      <c r="D401" s="10" t="s">
        <v>474</v>
      </c>
      <c r="E401" s="10" t="s">
        <v>474</v>
      </c>
      <c r="H401" s="10"/>
      <c r="I401" s="10">
        <v>1</v>
      </c>
    </row>
    <row r="402" spans="1:9" x14ac:dyDescent="0.25">
      <c r="A402" s="9">
        <v>6</v>
      </c>
      <c r="B402" s="9" t="s">
        <v>709</v>
      </c>
      <c r="C402" s="9" t="s">
        <v>35</v>
      </c>
      <c r="D402" s="9" t="s">
        <v>22</v>
      </c>
      <c r="E402" s="9" t="s">
        <v>22</v>
      </c>
      <c r="F402" s="9" t="s">
        <v>23</v>
      </c>
      <c r="G402" s="9">
        <v>0.17497299999999999</v>
      </c>
      <c r="H402" s="9"/>
      <c r="I402" s="9">
        <v>1</v>
      </c>
    </row>
    <row r="403" spans="1:9" x14ac:dyDescent="0.25">
      <c r="A403" s="9">
        <v>6</v>
      </c>
      <c r="B403" s="9" t="s">
        <v>37</v>
      </c>
      <c r="C403" s="9" t="s">
        <v>25</v>
      </c>
      <c r="D403" s="9" t="s">
        <v>38</v>
      </c>
      <c r="E403" s="9" t="s">
        <v>38</v>
      </c>
      <c r="F403" s="9" t="s">
        <v>27</v>
      </c>
      <c r="G403" s="9">
        <v>1.3392499999999999E-3</v>
      </c>
      <c r="H403" s="9"/>
      <c r="I403" s="9">
        <v>12</v>
      </c>
    </row>
    <row r="404" spans="1:9" x14ac:dyDescent="0.25">
      <c r="A404" s="10">
        <v>5</v>
      </c>
      <c r="B404" s="10" t="s">
        <v>710</v>
      </c>
      <c r="C404" s="10" t="s">
        <v>35</v>
      </c>
      <c r="D404" s="10" t="s">
        <v>474</v>
      </c>
      <c r="E404" s="10" t="s">
        <v>474</v>
      </c>
      <c r="H404" s="10"/>
      <c r="I404" s="10">
        <v>1</v>
      </c>
    </row>
    <row r="405" spans="1:9" x14ac:dyDescent="0.25">
      <c r="A405" s="9">
        <v>6</v>
      </c>
      <c r="B405" s="9" t="s">
        <v>711</v>
      </c>
      <c r="C405" s="9" t="s">
        <v>35</v>
      </c>
      <c r="D405" s="9" t="s">
        <v>22</v>
      </c>
      <c r="E405" s="9" t="s">
        <v>22</v>
      </c>
      <c r="F405" s="9" t="s">
        <v>23</v>
      </c>
      <c r="G405" s="9">
        <v>0.19290599999999999</v>
      </c>
      <c r="H405" s="9"/>
      <c r="I405" s="9">
        <v>1</v>
      </c>
    </row>
    <row r="406" spans="1:9" x14ac:dyDescent="0.25">
      <c r="A406" s="9">
        <v>6</v>
      </c>
      <c r="B406" s="9" t="s">
        <v>37</v>
      </c>
      <c r="C406" s="9" t="s">
        <v>25</v>
      </c>
      <c r="D406" s="9" t="s">
        <v>38</v>
      </c>
      <c r="E406" s="9" t="s">
        <v>38</v>
      </c>
      <c r="F406" s="9" t="s">
        <v>27</v>
      </c>
      <c r="G406" s="9">
        <v>1.3392499999999999E-3</v>
      </c>
      <c r="H406" s="9"/>
      <c r="I406" s="9">
        <v>12</v>
      </c>
    </row>
    <row r="407" spans="1:9" x14ac:dyDescent="0.25">
      <c r="A407" s="10">
        <v>5</v>
      </c>
      <c r="B407" s="10" t="s">
        <v>712</v>
      </c>
      <c r="C407" s="10" t="s">
        <v>35</v>
      </c>
      <c r="D407" s="10" t="s">
        <v>22</v>
      </c>
      <c r="E407" s="10" t="s">
        <v>22</v>
      </c>
      <c r="F407" s="10" t="s">
        <v>23</v>
      </c>
      <c r="G407" s="10">
        <v>8.2044800000000001E-2</v>
      </c>
      <c r="H407" s="10"/>
      <c r="I407" s="10">
        <v>1</v>
      </c>
    </row>
    <row r="408" spans="1:9" x14ac:dyDescent="0.25">
      <c r="A408" s="10">
        <v>5</v>
      </c>
      <c r="B408" s="10" t="s">
        <v>713</v>
      </c>
      <c r="C408" s="10" t="s">
        <v>35</v>
      </c>
      <c r="D408" s="10" t="s">
        <v>474</v>
      </c>
      <c r="E408" s="10" t="s">
        <v>474</v>
      </c>
      <c r="H408" s="10"/>
      <c r="I408" s="10">
        <v>1</v>
      </c>
    </row>
    <row r="409" spans="1:9" x14ac:dyDescent="0.25">
      <c r="A409" s="9">
        <v>6</v>
      </c>
      <c r="B409" s="9" t="s">
        <v>714</v>
      </c>
      <c r="C409" s="9" t="s">
        <v>35</v>
      </c>
      <c r="D409" s="9" t="s">
        <v>22</v>
      </c>
      <c r="E409" s="9" t="s">
        <v>22</v>
      </c>
      <c r="F409" s="9" t="s">
        <v>715</v>
      </c>
      <c r="G409" s="9">
        <v>0</v>
      </c>
      <c r="H409" s="9"/>
      <c r="I409" s="9">
        <v>1</v>
      </c>
    </row>
    <row r="410" spans="1:9" x14ac:dyDescent="0.25">
      <c r="A410" s="9">
        <v>6</v>
      </c>
      <c r="B410" s="9" t="s">
        <v>24</v>
      </c>
      <c r="C410" s="9" t="s">
        <v>25</v>
      </c>
      <c r="D410" s="9"/>
      <c r="E410" s="9" t="s">
        <v>26</v>
      </c>
      <c r="F410" s="9" t="s">
        <v>27</v>
      </c>
      <c r="G410" s="9"/>
      <c r="H410" s="9"/>
      <c r="I410" s="9">
        <v>4</v>
      </c>
    </row>
    <row r="411" spans="1:9" x14ac:dyDescent="0.25">
      <c r="A411" s="10">
        <v>5</v>
      </c>
      <c r="B411" s="10" t="s">
        <v>716</v>
      </c>
      <c r="C411" s="10" t="s">
        <v>35</v>
      </c>
      <c r="D411" s="10" t="s">
        <v>22</v>
      </c>
      <c r="E411" s="10" t="s">
        <v>22</v>
      </c>
      <c r="F411" s="10" t="s">
        <v>23</v>
      </c>
      <c r="G411" s="10">
        <v>0.16565299999999999</v>
      </c>
      <c r="H411" s="10"/>
      <c r="I411" s="10">
        <v>1</v>
      </c>
    </row>
    <row r="412" spans="1:9" x14ac:dyDescent="0.25">
      <c r="A412" s="10">
        <v>5</v>
      </c>
      <c r="B412" s="10" t="s">
        <v>717</v>
      </c>
      <c r="C412" s="10" t="s">
        <v>25</v>
      </c>
      <c r="D412" s="10"/>
      <c r="E412" s="10" t="s">
        <v>718</v>
      </c>
      <c r="F412" s="10" t="s">
        <v>335</v>
      </c>
      <c r="G412" s="10"/>
      <c r="H412" s="10"/>
      <c r="I412" s="10">
        <v>30</v>
      </c>
    </row>
    <row r="413" spans="1:9" x14ac:dyDescent="0.25">
      <c r="A413" s="9">
        <v>4</v>
      </c>
      <c r="B413" s="9" t="s">
        <v>719</v>
      </c>
      <c r="C413" s="9" t="s">
        <v>25</v>
      </c>
      <c r="D413" s="9" t="s">
        <v>332</v>
      </c>
      <c r="E413" s="9" t="s">
        <v>332</v>
      </c>
      <c r="H413" s="9"/>
      <c r="I413" s="9">
        <v>2</v>
      </c>
    </row>
    <row r="414" spans="1:9" x14ac:dyDescent="0.25">
      <c r="A414" s="10">
        <v>5</v>
      </c>
      <c r="B414" s="10" t="s">
        <v>720</v>
      </c>
      <c r="C414" s="10" t="s">
        <v>25</v>
      </c>
      <c r="D414" s="10" t="s">
        <v>334</v>
      </c>
      <c r="E414" s="10" t="s">
        <v>334</v>
      </c>
      <c r="F414" s="10" t="s">
        <v>335</v>
      </c>
      <c r="G414" s="10">
        <v>0.45253199999999999</v>
      </c>
      <c r="H414" s="10"/>
      <c r="I414" s="10">
        <v>1</v>
      </c>
    </row>
    <row r="415" spans="1:9" x14ac:dyDescent="0.25">
      <c r="A415" s="10">
        <v>5</v>
      </c>
      <c r="B415" s="10" t="s">
        <v>721</v>
      </c>
      <c r="C415" s="10" t="s">
        <v>25</v>
      </c>
      <c r="D415" s="10" t="s">
        <v>337</v>
      </c>
      <c r="E415" s="10" t="s">
        <v>337</v>
      </c>
      <c r="F415" s="10" t="s">
        <v>335</v>
      </c>
      <c r="G415" s="10">
        <v>0.42641299999999999</v>
      </c>
      <c r="H415" s="10"/>
      <c r="I415" s="10">
        <v>1</v>
      </c>
    </row>
    <row r="416" spans="1:9" x14ac:dyDescent="0.25">
      <c r="A416" s="10">
        <v>5</v>
      </c>
      <c r="B416" s="10" t="s">
        <v>722</v>
      </c>
      <c r="C416" s="10" t="s">
        <v>25</v>
      </c>
      <c r="D416" s="10" t="s">
        <v>339</v>
      </c>
      <c r="E416" s="10" t="s">
        <v>339</v>
      </c>
      <c r="F416" s="10" t="s">
        <v>335</v>
      </c>
      <c r="G416" s="10">
        <v>0.85629699999999997</v>
      </c>
      <c r="H416" s="10"/>
      <c r="I416" s="10">
        <v>1</v>
      </c>
    </row>
    <row r="417" spans="1:9" x14ac:dyDescent="0.25">
      <c r="A417" s="10">
        <v>5</v>
      </c>
      <c r="B417" s="10" t="s">
        <v>723</v>
      </c>
      <c r="C417" s="10" t="s">
        <v>25</v>
      </c>
      <c r="D417" s="10" t="s">
        <v>341</v>
      </c>
      <c r="E417" s="10" t="s">
        <v>342</v>
      </c>
      <c r="F417" s="10" t="s">
        <v>335</v>
      </c>
      <c r="G417" s="10">
        <v>0.1633</v>
      </c>
      <c r="H417" s="10"/>
      <c r="I417" s="10">
        <v>1</v>
      </c>
    </row>
    <row r="418" spans="1:9" x14ac:dyDescent="0.25">
      <c r="A418" s="9">
        <v>4</v>
      </c>
      <c r="B418" s="9" t="s">
        <v>8</v>
      </c>
      <c r="C418" s="9" t="s">
        <v>25</v>
      </c>
      <c r="D418" s="9"/>
      <c r="E418" s="9" t="s">
        <v>9</v>
      </c>
      <c r="F418" s="9" t="s">
        <v>27</v>
      </c>
      <c r="G418" s="9"/>
      <c r="H418" s="9"/>
      <c r="I418" s="9">
        <v>12</v>
      </c>
    </row>
    <row r="419" spans="1:9" x14ac:dyDescent="0.25">
      <c r="A419" s="10">
        <v>3</v>
      </c>
      <c r="B419" s="10" t="s">
        <v>724</v>
      </c>
      <c r="C419" s="10" t="s">
        <v>78</v>
      </c>
      <c r="D419" s="10" t="s">
        <v>706</v>
      </c>
      <c r="E419" s="10" t="s">
        <v>706</v>
      </c>
      <c r="H419" s="10"/>
      <c r="I419" s="10">
        <v>1</v>
      </c>
    </row>
    <row r="420" spans="1:9" x14ac:dyDescent="0.25">
      <c r="A420" s="9">
        <v>4</v>
      </c>
      <c r="B420" s="9" t="s">
        <v>725</v>
      </c>
      <c r="C420" s="9" t="s">
        <v>35</v>
      </c>
      <c r="D420" s="9" t="s">
        <v>345</v>
      </c>
      <c r="E420" s="9" t="s">
        <v>345</v>
      </c>
      <c r="H420" s="9"/>
      <c r="I420" s="9">
        <v>1</v>
      </c>
    </row>
    <row r="421" spans="1:9" x14ac:dyDescent="0.25">
      <c r="A421" s="10">
        <v>5</v>
      </c>
      <c r="B421" s="10" t="s">
        <v>726</v>
      </c>
      <c r="C421" s="10" t="s">
        <v>35</v>
      </c>
      <c r="D421" s="10" t="s">
        <v>474</v>
      </c>
      <c r="E421" s="10" t="s">
        <v>474</v>
      </c>
      <c r="H421" s="10"/>
      <c r="I421" s="10">
        <v>1</v>
      </c>
    </row>
    <row r="422" spans="1:9" x14ac:dyDescent="0.25">
      <c r="A422" s="9">
        <v>6</v>
      </c>
      <c r="B422" s="9" t="s">
        <v>727</v>
      </c>
      <c r="C422" s="9" t="s">
        <v>35</v>
      </c>
      <c r="D422" s="9" t="s">
        <v>22</v>
      </c>
      <c r="E422" s="9" t="s">
        <v>22</v>
      </c>
      <c r="F422" s="9" t="s">
        <v>23</v>
      </c>
      <c r="G422" s="9">
        <v>0.167462</v>
      </c>
      <c r="H422" s="9"/>
      <c r="I422" s="9">
        <v>1</v>
      </c>
    </row>
    <row r="423" spans="1:9" x14ac:dyDescent="0.25">
      <c r="A423" s="9">
        <v>6</v>
      </c>
      <c r="B423" s="9" t="s">
        <v>37</v>
      </c>
      <c r="C423" s="9" t="s">
        <v>25</v>
      </c>
      <c r="D423" s="9" t="s">
        <v>38</v>
      </c>
      <c r="E423" s="9" t="s">
        <v>38</v>
      </c>
      <c r="F423" s="9" t="s">
        <v>27</v>
      </c>
      <c r="G423" s="9">
        <v>1.3392499999999999E-3</v>
      </c>
      <c r="H423" s="9"/>
      <c r="I423" s="9">
        <v>12</v>
      </c>
    </row>
    <row r="424" spans="1:9" x14ac:dyDescent="0.25">
      <c r="A424" s="10">
        <v>5</v>
      </c>
      <c r="B424" s="10" t="s">
        <v>728</v>
      </c>
      <c r="C424" s="10" t="s">
        <v>35</v>
      </c>
      <c r="D424" s="10" t="s">
        <v>474</v>
      </c>
      <c r="E424" s="10" t="s">
        <v>474</v>
      </c>
      <c r="H424" s="10"/>
      <c r="I424" s="10">
        <v>1</v>
      </c>
    </row>
    <row r="425" spans="1:9" x14ac:dyDescent="0.25">
      <c r="A425" s="9">
        <v>6</v>
      </c>
      <c r="B425" s="9" t="s">
        <v>729</v>
      </c>
      <c r="C425" s="9" t="s">
        <v>35</v>
      </c>
      <c r="D425" s="9" t="s">
        <v>22</v>
      </c>
      <c r="E425" s="9" t="s">
        <v>22</v>
      </c>
      <c r="F425" s="9" t="s">
        <v>23</v>
      </c>
      <c r="G425" s="9">
        <v>0.173037</v>
      </c>
      <c r="H425" s="9"/>
      <c r="I425" s="9">
        <v>1</v>
      </c>
    </row>
    <row r="426" spans="1:9" x14ac:dyDescent="0.25">
      <c r="A426" s="9">
        <v>6</v>
      </c>
      <c r="B426" s="9" t="s">
        <v>37</v>
      </c>
      <c r="C426" s="9" t="s">
        <v>25</v>
      </c>
      <c r="D426" s="9" t="s">
        <v>38</v>
      </c>
      <c r="E426" s="9" t="s">
        <v>38</v>
      </c>
      <c r="F426" s="9" t="s">
        <v>27</v>
      </c>
      <c r="G426" s="9">
        <v>1.3392499999999999E-3</v>
      </c>
      <c r="H426" s="9"/>
      <c r="I426" s="9">
        <v>12</v>
      </c>
    </row>
    <row r="427" spans="1:9" x14ac:dyDescent="0.25">
      <c r="A427" s="10">
        <v>5</v>
      </c>
      <c r="B427" s="10" t="s">
        <v>730</v>
      </c>
      <c r="C427" s="10" t="s">
        <v>35</v>
      </c>
      <c r="D427" s="10" t="s">
        <v>22</v>
      </c>
      <c r="E427" s="10" t="s">
        <v>22</v>
      </c>
      <c r="F427" s="10" t="s">
        <v>23</v>
      </c>
      <c r="G427" s="10">
        <v>8.2045300000000002E-2</v>
      </c>
      <c r="H427" s="10"/>
      <c r="I427" s="10">
        <v>1</v>
      </c>
    </row>
    <row r="428" spans="1:9" x14ac:dyDescent="0.25">
      <c r="A428" s="10">
        <v>5</v>
      </c>
      <c r="B428" s="10" t="s">
        <v>731</v>
      </c>
      <c r="C428" s="10" t="s">
        <v>35</v>
      </c>
      <c r="D428" s="10" t="s">
        <v>474</v>
      </c>
      <c r="E428" s="10" t="s">
        <v>474</v>
      </c>
      <c r="H428" s="10"/>
      <c r="I428" s="10">
        <v>1</v>
      </c>
    </row>
    <row r="429" spans="1:9" x14ac:dyDescent="0.25">
      <c r="A429" s="9">
        <v>6</v>
      </c>
      <c r="B429" s="9" t="s">
        <v>732</v>
      </c>
      <c r="C429" s="9" t="s">
        <v>35</v>
      </c>
      <c r="D429" s="9" t="s">
        <v>22</v>
      </c>
      <c r="E429" s="9" t="s">
        <v>22</v>
      </c>
      <c r="F429" s="9" t="s">
        <v>715</v>
      </c>
      <c r="G429" s="9">
        <v>0</v>
      </c>
      <c r="H429" s="9"/>
      <c r="I429" s="9">
        <v>1</v>
      </c>
    </row>
    <row r="430" spans="1:9" x14ac:dyDescent="0.25">
      <c r="A430" s="9">
        <v>6</v>
      </c>
      <c r="B430" s="9" t="s">
        <v>24</v>
      </c>
      <c r="C430" s="9" t="s">
        <v>25</v>
      </c>
      <c r="D430" s="9"/>
      <c r="E430" s="9" t="s">
        <v>26</v>
      </c>
      <c r="F430" s="9" t="s">
        <v>27</v>
      </c>
      <c r="G430" s="9"/>
      <c r="H430" s="9"/>
      <c r="I430" s="9">
        <v>4</v>
      </c>
    </row>
    <row r="431" spans="1:9" x14ac:dyDescent="0.25">
      <c r="A431" s="10">
        <v>5</v>
      </c>
      <c r="B431" s="10" t="s">
        <v>733</v>
      </c>
      <c r="C431" s="10" t="s">
        <v>35</v>
      </c>
      <c r="D431" s="10" t="s">
        <v>22</v>
      </c>
      <c r="E431" s="10" t="s">
        <v>22</v>
      </c>
      <c r="F431" s="10" t="s">
        <v>23</v>
      </c>
      <c r="G431" s="10">
        <v>0.153306</v>
      </c>
      <c r="H431" s="10"/>
      <c r="I431" s="10">
        <v>1</v>
      </c>
    </row>
    <row r="432" spans="1:9" x14ac:dyDescent="0.25">
      <c r="A432" s="10">
        <v>5</v>
      </c>
      <c r="B432" s="10" t="s">
        <v>717</v>
      </c>
      <c r="C432" s="10" t="s">
        <v>25</v>
      </c>
      <c r="D432" s="10"/>
      <c r="E432" s="10" t="s">
        <v>718</v>
      </c>
      <c r="F432" s="10" t="s">
        <v>335</v>
      </c>
      <c r="G432" s="10"/>
      <c r="H432" s="10"/>
      <c r="I432" s="10">
        <v>30</v>
      </c>
    </row>
    <row r="433" spans="1:9" x14ac:dyDescent="0.25">
      <c r="A433" s="9">
        <v>4</v>
      </c>
      <c r="B433" s="9" t="s">
        <v>719</v>
      </c>
      <c r="C433" s="9" t="s">
        <v>25</v>
      </c>
      <c r="D433" s="9" t="s">
        <v>332</v>
      </c>
      <c r="E433" s="9" t="s">
        <v>332</v>
      </c>
      <c r="H433" s="9"/>
      <c r="I433" s="9">
        <v>2</v>
      </c>
    </row>
    <row r="434" spans="1:9" x14ac:dyDescent="0.25">
      <c r="A434" s="10">
        <v>5</v>
      </c>
      <c r="B434" s="10" t="s">
        <v>720</v>
      </c>
      <c r="C434" s="10" t="s">
        <v>25</v>
      </c>
      <c r="D434" s="10" t="s">
        <v>334</v>
      </c>
      <c r="E434" s="10" t="s">
        <v>334</v>
      </c>
      <c r="F434" s="10" t="s">
        <v>335</v>
      </c>
      <c r="G434" s="10">
        <v>0.45253199999999999</v>
      </c>
      <c r="H434" s="10"/>
      <c r="I434" s="10">
        <v>1</v>
      </c>
    </row>
    <row r="435" spans="1:9" x14ac:dyDescent="0.25">
      <c r="A435" s="10">
        <v>5</v>
      </c>
      <c r="B435" s="10" t="s">
        <v>721</v>
      </c>
      <c r="C435" s="10" t="s">
        <v>25</v>
      </c>
      <c r="D435" s="10" t="s">
        <v>337</v>
      </c>
      <c r="E435" s="10" t="s">
        <v>337</v>
      </c>
      <c r="F435" s="10" t="s">
        <v>335</v>
      </c>
      <c r="G435" s="10">
        <v>0.42641299999999999</v>
      </c>
      <c r="H435" s="10"/>
      <c r="I435" s="10">
        <v>1</v>
      </c>
    </row>
    <row r="436" spans="1:9" x14ac:dyDescent="0.25">
      <c r="A436" s="10">
        <v>5</v>
      </c>
      <c r="B436" s="10" t="s">
        <v>722</v>
      </c>
      <c r="C436" s="10" t="s">
        <v>25</v>
      </c>
      <c r="D436" s="10" t="s">
        <v>339</v>
      </c>
      <c r="E436" s="10" t="s">
        <v>339</v>
      </c>
      <c r="F436" s="10" t="s">
        <v>335</v>
      </c>
      <c r="G436" s="10">
        <v>0.85629699999999997</v>
      </c>
      <c r="H436" s="10"/>
      <c r="I436" s="10">
        <v>1</v>
      </c>
    </row>
    <row r="437" spans="1:9" x14ac:dyDescent="0.25">
      <c r="A437" s="10">
        <v>5</v>
      </c>
      <c r="B437" s="10" t="s">
        <v>723</v>
      </c>
      <c r="C437" s="10" t="s">
        <v>25</v>
      </c>
      <c r="D437" s="10" t="s">
        <v>341</v>
      </c>
      <c r="E437" s="10" t="s">
        <v>342</v>
      </c>
      <c r="F437" s="10" t="s">
        <v>335</v>
      </c>
      <c r="G437" s="10">
        <v>0.1633</v>
      </c>
      <c r="H437" s="10"/>
      <c r="I437" s="10">
        <v>1</v>
      </c>
    </row>
    <row r="438" spans="1:9" x14ac:dyDescent="0.25">
      <c r="A438" s="9">
        <v>4</v>
      </c>
      <c r="B438" s="9" t="s">
        <v>8</v>
      </c>
      <c r="C438" s="9" t="s">
        <v>25</v>
      </c>
      <c r="D438" s="9"/>
      <c r="E438" s="9" t="s">
        <v>9</v>
      </c>
      <c r="F438" s="9" t="s">
        <v>27</v>
      </c>
      <c r="G438" s="9"/>
      <c r="H438" s="9"/>
      <c r="I438" s="9">
        <v>12</v>
      </c>
    </row>
    <row r="439" spans="1:9" x14ac:dyDescent="0.25">
      <c r="A439" s="10">
        <v>3</v>
      </c>
      <c r="B439" s="10" t="s">
        <v>734</v>
      </c>
      <c r="C439" s="10" t="s">
        <v>78</v>
      </c>
      <c r="D439" s="10" t="s">
        <v>706</v>
      </c>
      <c r="E439" s="10" t="s">
        <v>706</v>
      </c>
      <c r="H439" s="10"/>
      <c r="I439" s="10">
        <v>1</v>
      </c>
    </row>
    <row r="440" spans="1:9" x14ac:dyDescent="0.25">
      <c r="A440" s="9">
        <v>4</v>
      </c>
      <c r="B440" s="9" t="s">
        <v>735</v>
      </c>
      <c r="C440" s="9" t="s">
        <v>54</v>
      </c>
      <c r="D440" s="9" t="s">
        <v>345</v>
      </c>
      <c r="E440" s="9" t="s">
        <v>345</v>
      </c>
      <c r="H440" s="9"/>
      <c r="I440" s="9">
        <v>1</v>
      </c>
    </row>
    <row r="441" spans="1:9" x14ac:dyDescent="0.25">
      <c r="A441" s="10">
        <v>5</v>
      </c>
      <c r="B441" s="10" t="s">
        <v>736</v>
      </c>
      <c r="C441" s="10" t="s">
        <v>54</v>
      </c>
      <c r="D441" s="10" t="s">
        <v>474</v>
      </c>
      <c r="E441" s="10" t="s">
        <v>474</v>
      </c>
      <c r="H441" s="10"/>
      <c r="I441" s="10">
        <v>1</v>
      </c>
    </row>
    <row r="442" spans="1:9" x14ac:dyDescent="0.25">
      <c r="A442" s="9">
        <v>6</v>
      </c>
      <c r="B442" s="9" t="s">
        <v>737</v>
      </c>
      <c r="C442" s="9" t="s">
        <v>54</v>
      </c>
      <c r="D442" s="9" t="s">
        <v>22</v>
      </c>
      <c r="E442" s="9" t="s">
        <v>22</v>
      </c>
      <c r="F442" s="9" t="s">
        <v>23</v>
      </c>
      <c r="G442" s="9">
        <v>0.10795</v>
      </c>
      <c r="H442" s="9"/>
      <c r="I442" s="9">
        <v>1</v>
      </c>
    </row>
    <row r="443" spans="1:9" x14ac:dyDescent="0.25">
      <c r="A443" s="9">
        <v>6</v>
      </c>
      <c r="B443" s="9" t="s">
        <v>37</v>
      </c>
      <c r="C443" s="9" t="s">
        <v>25</v>
      </c>
      <c r="D443" s="9" t="s">
        <v>38</v>
      </c>
      <c r="E443" s="9" t="s">
        <v>38</v>
      </c>
      <c r="F443" s="9" t="s">
        <v>27</v>
      </c>
      <c r="G443" s="9">
        <v>1.3392499999999999E-3</v>
      </c>
      <c r="H443" s="9"/>
      <c r="I443" s="9">
        <v>12</v>
      </c>
    </row>
    <row r="444" spans="1:9" x14ac:dyDescent="0.25">
      <c r="A444" s="10">
        <v>5</v>
      </c>
      <c r="B444" s="10" t="s">
        <v>738</v>
      </c>
      <c r="C444" s="10" t="s">
        <v>54</v>
      </c>
      <c r="D444" s="10" t="s">
        <v>474</v>
      </c>
      <c r="E444" s="10" t="s">
        <v>474</v>
      </c>
      <c r="H444" s="10"/>
      <c r="I444" s="10">
        <v>1</v>
      </c>
    </row>
    <row r="445" spans="1:9" x14ac:dyDescent="0.25">
      <c r="A445" s="9">
        <v>6</v>
      </c>
      <c r="B445" s="9" t="s">
        <v>739</v>
      </c>
      <c r="C445" s="9" t="s">
        <v>54</v>
      </c>
      <c r="D445" s="9" t="s">
        <v>22</v>
      </c>
      <c r="E445" s="9" t="s">
        <v>22</v>
      </c>
      <c r="F445" s="9" t="s">
        <v>23</v>
      </c>
      <c r="G445" s="9">
        <v>0.124413</v>
      </c>
      <c r="H445" s="9"/>
      <c r="I445" s="9">
        <v>1</v>
      </c>
    </row>
    <row r="446" spans="1:9" x14ac:dyDescent="0.25">
      <c r="A446" s="9">
        <v>6</v>
      </c>
      <c r="B446" s="9" t="s">
        <v>37</v>
      </c>
      <c r="C446" s="9" t="s">
        <v>25</v>
      </c>
      <c r="D446" s="9" t="s">
        <v>38</v>
      </c>
      <c r="E446" s="9" t="s">
        <v>38</v>
      </c>
      <c r="F446" s="9" t="s">
        <v>27</v>
      </c>
      <c r="G446" s="9">
        <v>1.3392499999999999E-3</v>
      </c>
      <c r="H446" s="9"/>
      <c r="I446" s="9">
        <v>12</v>
      </c>
    </row>
    <row r="447" spans="1:9" x14ac:dyDescent="0.25">
      <c r="A447" s="10">
        <v>5</v>
      </c>
      <c r="B447" s="10" t="s">
        <v>740</v>
      </c>
      <c r="C447" s="10" t="s">
        <v>54</v>
      </c>
      <c r="D447" s="10" t="s">
        <v>22</v>
      </c>
      <c r="E447" s="10" t="s">
        <v>22</v>
      </c>
      <c r="F447" s="10" t="s">
        <v>23</v>
      </c>
      <c r="G447" s="10">
        <v>0.118171</v>
      </c>
      <c r="H447" s="10"/>
      <c r="I447" s="10">
        <v>1</v>
      </c>
    </row>
    <row r="448" spans="1:9" x14ac:dyDescent="0.25">
      <c r="A448" s="10">
        <v>5</v>
      </c>
      <c r="B448" s="10" t="s">
        <v>741</v>
      </c>
      <c r="C448" s="10" t="s">
        <v>54</v>
      </c>
      <c r="D448" s="10" t="s">
        <v>474</v>
      </c>
      <c r="E448" s="10" t="s">
        <v>474</v>
      </c>
      <c r="H448" s="10"/>
      <c r="I448" s="10">
        <v>1</v>
      </c>
    </row>
    <row r="449" spans="1:9" x14ac:dyDescent="0.25">
      <c r="A449" s="9">
        <v>6</v>
      </c>
      <c r="B449" s="9" t="s">
        <v>742</v>
      </c>
      <c r="C449" s="9" t="s">
        <v>54</v>
      </c>
      <c r="D449" s="9" t="s">
        <v>22</v>
      </c>
      <c r="E449" s="9" t="s">
        <v>22</v>
      </c>
      <c r="F449" s="9" t="s">
        <v>715</v>
      </c>
      <c r="G449" s="9">
        <v>0.53243499999999999</v>
      </c>
      <c r="H449" s="9"/>
      <c r="I449" s="9">
        <v>1</v>
      </c>
    </row>
    <row r="450" spans="1:9" x14ac:dyDescent="0.25">
      <c r="A450" s="9">
        <v>6</v>
      </c>
      <c r="B450" s="9" t="s">
        <v>24</v>
      </c>
      <c r="C450" s="9" t="s">
        <v>25</v>
      </c>
      <c r="D450" s="9"/>
      <c r="E450" s="9" t="s">
        <v>26</v>
      </c>
      <c r="F450" s="9" t="s">
        <v>27</v>
      </c>
      <c r="G450" s="9"/>
      <c r="H450" s="9"/>
      <c r="I450" s="9">
        <v>4</v>
      </c>
    </row>
    <row r="451" spans="1:9" x14ac:dyDescent="0.25">
      <c r="A451" s="10">
        <v>5</v>
      </c>
      <c r="B451" s="10" t="s">
        <v>743</v>
      </c>
      <c r="C451" s="10" t="s">
        <v>54</v>
      </c>
      <c r="D451" s="10" t="s">
        <v>22</v>
      </c>
      <c r="E451" s="10" t="s">
        <v>22</v>
      </c>
      <c r="F451" s="10" t="s">
        <v>23</v>
      </c>
      <c r="G451" s="10">
        <v>0.354238</v>
      </c>
      <c r="H451" s="10"/>
      <c r="I451" s="10">
        <v>1</v>
      </c>
    </row>
    <row r="452" spans="1:9" x14ac:dyDescent="0.25">
      <c r="A452" s="10">
        <v>5</v>
      </c>
      <c r="B452" s="10" t="s">
        <v>717</v>
      </c>
      <c r="C452" s="10" t="s">
        <v>25</v>
      </c>
      <c r="D452" s="10"/>
      <c r="E452" s="10" t="s">
        <v>718</v>
      </c>
      <c r="F452" s="10" t="s">
        <v>335</v>
      </c>
      <c r="G452" s="10"/>
      <c r="H452" s="10"/>
      <c r="I452" s="10">
        <v>34</v>
      </c>
    </row>
    <row r="453" spans="1:9" x14ac:dyDescent="0.25">
      <c r="A453" s="9">
        <v>4</v>
      </c>
      <c r="B453" s="9" t="s">
        <v>719</v>
      </c>
      <c r="C453" s="9" t="s">
        <v>25</v>
      </c>
      <c r="D453" s="9" t="s">
        <v>332</v>
      </c>
      <c r="E453" s="9" t="s">
        <v>332</v>
      </c>
      <c r="H453" s="9"/>
      <c r="I453" s="9">
        <v>2</v>
      </c>
    </row>
    <row r="454" spans="1:9" x14ac:dyDescent="0.25">
      <c r="A454" s="10">
        <v>5</v>
      </c>
      <c r="B454" s="10" t="s">
        <v>720</v>
      </c>
      <c r="C454" s="10" t="s">
        <v>25</v>
      </c>
      <c r="D454" s="10" t="s">
        <v>334</v>
      </c>
      <c r="E454" s="10" t="s">
        <v>334</v>
      </c>
      <c r="F454" s="10" t="s">
        <v>335</v>
      </c>
      <c r="G454" s="10">
        <v>0.45253199999999999</v>
      </c>
      <c r="H454" s="10"/>
      <c r="I454" s="10">
        <v>1</v>
      </c>
    </row>
    <row r="455" spans="1:9" x14ac:dyDescent="0.25">
      <c r="A455" s="10">
        <v>5</v>
      </c>
      <c r="B455" s="10" t="s">
        <v>721</v>
      </c>
      <c r="C455" s="10" t="s">
        <v>25</v>
      </c>
      <c r="D455" s="10" t="s">
        <v>337</v>
      </c>
      <c r="E455" s="10" t="s">
        <v>337</v>
      </c>
      <c r="F455" s="10" t="s">
        <v>335</v>
      </c>
      <c r="G455" s="10">
        <v>0.42641299999999999</v>
      </c>
      <c r="H455" s="10"/>
      <c r="I455" s="10">
        <v>1</v>
      </c>
    </row>
    <row r="456" spans="1:9" x14ac:dyDescent="0.25">
      <c r="A456" s="10">
        <v>5</v>
      </c>
      <c r="B456" s="10" t="s">
        <v>722</v>
      </c>
      <c r="C456" s="10" t="s">
        <v>25</v>
      </c>
      <c r="D456" s="10" t="s">
        <v>339</v>
      </c>
      <c r="E456" s="10" t="s">
        <v>339</v>
      </c>
      <c r="F456" s="10" t="s">
        <v>335</v>
      </c>
      <c r="G456" s="10">
        <v>0.85629699999999997</v>
      </c>
      <c r="H456" s="10"/>
      <c r="I456" s="10">
        <v>1</v>
      </c>
    </row>
    <row r="457" spans="1:9" x14ac:dyDescent="0.25">
      <c r="A457" s="10">
        <v>5</v>
      </c>
      <c r="B457" s="10" t="s">
        <v>723</v>
      </c>
      <c r="C457" s="10" t="s">
        <v>25</v>
      </c>
      <c r="D457" s="10" t="s">
        <v>341</v>
      </c>
      <c r="E457" s="10" t="s">
        <v>342</v>
      </c>
      <c r="F457" s="10" t="s">
        <v>335</v>
      </c>
      <c r="G457" s="10">
        <v>0.1633</v>
      </c>
      <c r="H457" s="10"/>
      <c r="I457" s="10">
        <v>1</v>
      </c>
    </row>
    <row r="458" spans="1:9" x14ac:dyDescent="0.25">
      <c r="A458" s="9">
        <v>4</v>
      </c>
      <c r="B458" s="9" t="s">
        <v>8</v>
      </c>
      <c r="C458" s="9" t="s">
        <v>25</v>
      </c>
      <c r="D458" s="9"/>
      <c r="E458" s="9" t="s">
        <v>9</v>
      </c>
      <c r="F458" s="9" t="s">
        <v>27</v>
      </c>
      <c r="G458" s="9"/>
      <c r="H458" s="9"/>
      <c r="I458" s="9">
        <v>12</v>
      </c>
    </row>
    <row r="459" spans="1:9" ht="60" x14ac:dyDescent="0.25">
      <c r="A459" s="10">
        <v>3</v>
      </c>
      <c r="B459" s="10" t="s">
        <v>744</v>
      </c>
      <c r="C459" s="10" t="s">
        <v>574</v>
      </c>
      <c r="D459" s="12" t="s">
        <v>745</v>
      </c>
      <c r="E459" s="10" t="s">
        <v>746</v>
      </c>
      <c r="H459" s="10" t="s">
        <v>218</v>
      </c>
      <c r="I459" s="10">
        <v>1</v>
      </c>
    </row>
    <row r="460" spans="1:9" x14ac:dyDescent="0.25">
      <c r="A460" s="9">
        <v>4</v>
      </c>
      <c r="B460" s="9" t="s">
        <v>747</v>
      </c>
      <c r="C460" s="9" t="s">
        <v>17</v>
      </c>
      <c r="D460" s="9"/>
      <c r="E460" s="9" t="s">
        <v>748</v>
      </c>
      <c r="F460" s="9" t="s">
        <v>335</v>
      </c>
      <c r="G460" s="9">
        <v>5.9449100000000003E-3</v>
      </c>
      <c r="H460" s="9" t="s">
        <v>150</v>
      </c>
      <c r="I460" s="9">
        <v>1</v>
      </c>
    </row>
    <row r="461" spans="1:9" x14ac:dyDescent="0.25">
      <c r="A461" s="9">
        <v>4</v>
      </c>
      <c r="B461" s="9" t="s">
        <v>749</v>
      </c>
      <c r="C461" s="9" t="s">
        <v>17</v>
      </c>
      <c r="D461" s="9"/>
      <c r="E461" s="9" t="s">
        <v>750</v>
      </c>
      <c r="F461" s="9" t="s">
        <v>751</v>
      </c>
      <c r="G461" s="9">
        <v>2.5520899999999999E-3</v>
      </c>
      <c r="H461" s="9" t="s">
        <v>150</v>
      </c>
      <c r="I461" s="9">
        <v>1</v>
      </c>
    </row>
    <row r="462" spans="1:9" x14ac:dyDescent="0.25">
      <c r="A462" s="9">
        <v>4</v>
      </c>
      <c r="B462" s="9" t="s">
        <v>752</v>
      </c>
      <c r="C462" s="9" t="s">
        <v>86</v>
      </c>
      <c r="D462" s="9" t="s">
        <v>753</v>
      </c>
      <c r="E462" s="9" t="s">
        <v>753</v>
      </c>
      <c r="F462" s="9" t="s">
        <v>294</v>
      </c>
      <c r="G462" s="9">
        <v>1.76604E-3</v>
      </c>
      <c r="H462" s="9"/>
      <c r="I462" s="9">
        <v>1</v>
      </c>
    </row>
    <row r="463" spans="1:9" x14ac:dyDescent="0.25">
      <c r="A463" s="9">
        <v>4</v>
      </c>
      <c r="B463" s="9" t="s">
        <v>754</v>
      </c>
      <c r="C463" s="9" t="s">
        <v>17</v>
      </c>
      <c r="D463" s="9"/>
      <c r="E463" s="9" t="s">
        <v>755</v>
      </c>
      <c r="F463" s="9" t="s">
        <v>335</v>
      </c>
      <c r="G463" s="9">
        <v>1.9630399999999999E-2</v>
      </c>
      <c r="H463" s="9" t="s">
        <v>150</v>
      </c>
      <c r="I463" s="9">
        <v>1</v>
      </c>
    </row>
    <row r="464" spans="1:9" x14ac:dyDescent="0.25">
      <c r="A464" s="9">
        <v>4</v>
      </c>
      <c r="B464" s="9" t="s">
        <v>756</v>
      </c>
      <c r="C464" s="9" t="s">
        <v>17</v>
      </c>
      <c r="D464" s="9"/>
      <c r="E464" s="9" t="s">
        <v>757</v>
      </c>
      <c r="H464" s="9" t="s">
        <v>218</v>
      </c>
      <c r="I464" s="9">
        <v>1</v>
      </c>
    </row>
    <row r="465" spans="1:9" x14ac:dyDescent="0.25">
      <c r="A465" s="10">
        <v>5</v>
      </c>
      <c r="B465" s="10" t="s">
        <v>758</v>
      </c>
      <c r="C465" s="10" t="s">
        <v>17</v>
      </c>
      <c r="D465" s="10"/>
      <c r="E465" s="10" t="s">
        <v>759</v>
      </c>
      <c r="F465" s="10" t="s">
        <v>594</v>
      </c>
      <c r="G465" s="13">
        <v>9.22966E-5</v>
      </c>
      <c r="H465" s="10" t="s">
        <v>165</v>
      </c>
      <c r="I465" s="10">
        <v>1</v>
      </c>
    </row>
    <row r="466" spans="1:9" x14ac:dyDescent="0.25">
      <c r="A466" s="10">
        <v>5</v>
      </c>
      <c r="B466" s="10" t="s">
        <v>760</v>
      </c>
      <c r="C466" s="10" t="s">
        <v>17</v>
      </c>
      <c r="D466" s="10"/>
      <c r="E466" s="10" t="s">
        <v>309</v>
      </c>
      <c r="F466" s="10" t="s">
        <v>101</v>
      </c>
      <c r="G466" s="10">
        <v>4.9734100000000002E-3</v>
      </c>
      <c r="H466" s="10" t="s">
        <v>150</v>
      </c>
      <c r="I466" s="10">
        <v>1</v>
      </c>
    </row>
    <row r="467" spans="1:9" x14ac:dyDescent="0.25">
      <c r="A467" s="9">
        <v>4</v>
      </c>
      <c r="B467" s="9" t="s">
        <v>761</v>
      </c>
      <c r="C467" s="9" t="s">
        <v>17</v>
      </c>
      <c r="D467" s="9"/>
      <c r="E467" s="9" t="s">
        <v>762</v>
      </c>
      <c r="F467" s="9" t="s">
        <v>763</v>
      </c>
      <c r="G467" s="9">
        <v>7.8660000000000004E-4</v>
      </c>
      <c r="H467" s="9" t="s">
        <v>165</v>
      </c>
      <c r="I467" s="9">
        <v>2</v>
      </c>
    </row>
    <row r="468" spans="1:9" x14ac:dyDescent="0.25">
      <c r="A468" s="9">
        <v>4</v>
      </c>
      <c r="B468" s="9" t="s">
        <v>764</v>
      </c>
      <c r="C468" s="9" t="s">
        <v>25</v>
      </c>
      <c r="D468" s="9"/>
      <c r="E468" s="9" t="s">
        <v>9</v>
      </c>
      <c r="F468" s="9" t="s">
        <v>27</v>
      </c>
      <c r="G468" s="9"/>
      <c r="H468" s="9"/>
      <c r="I468" s="9">
        <v>2</v>
      </c>
    </row>
    <row r="469" spans="1:9" ht="165" x14ac:dyDescent="0.25">
      <c r="A469" s="10">
        <v>3</v>
      </c>
      <c r="B469" s="10" t="s">
        <v>765</v>
      </c>
      <c r="C469" s="10" t="s">
        <v>25</v>
      </c>
      <c r="D469" s="12" t="s">
        <v>766</v>
      </c>
      <c r="E469" s="10" t="s">
        <v>767</v>
      </c>
      <c r="F469" s="10"/>
      <c r="G469" s="10">
        <v>0</v>
      </c>
      <c r="H469" s="10"/>
      <c r="I469" s="10">
        <v>1</v>
      </c>
    </row>
    <row r="470" spans="1:9" x14ac:dyDescent="0.25">
      <c r="A470" s="10">
        <v>3</v>
      </c>
      <c r="B470" s="10" t="s">
        <v>768</v>
      </c>
      <c r="C470" s="10" t="s">
        <v>35</v>
      </c>
      <c r="D470" s="10" t="s">
        <v>769</v>
      </c>
      <c r="E470" s="10" t="s">
        <v>769</v>
      </c>
      <c r="F470" s="10" t="s">
        <v>770</v>
      </c>
      <c r="G470" s="10">
        <v>0.34294799999999998</v>
      </c>
      <c r="H470" s="10"/>
      <c r="I470" s="10">
        <v>1</v>
      </c>
    </row>
    <row r="471" spans="1:9" x14ac:dyDescent="0.25">
      <c r="A471" s="10">
        <v>3</v>
      </c>
      <c r="B471" s="10" t="s">
        <v>771</v>
      </c>
      <c r="C471" s="10" t="s">
        <v>685</v>
      </c>
      <c r="D471" s="10" t="s">
        <v>772</v>
      </c>
      <c r="E471" s="10" t="s">
        <v>772</v>
      </c>
      <c r="H471" s="10" t="s">
        <v>15</v>
      </c>
      <c r="I471" s="10">
        <v>1</v>
      </c>
    </row>
    <row r="472" spans="1:9" x14ac:dyDescent="0.25">
      <c r="A472" s="9">
        <v>4</v>
      </c>
      <c r="B472" s="9" t="s">
        <v>773</v>
      </c>
      <c r="C472" s="9" t="s">
        <v>54</v>
      </c>
      <c r="D472" s="9" t="s">
        <v>774</v>
      </c>
      <c r="E472" s="9" t="s">
        <v>774</v>
      </c>
      <c r="H472" s="9"/>
      <c r="I472" s="9">
        <v>1</v>
      </c>
    </row>
    <row r="473" spans="1:9" x14ac:dyDescent="0.25">
      <c r="A473" s="10">
        <v>5</v>
      </c>
      <c r="B473" s="10" t="s">
        <v>775</v>
      </c>
      <c r="C473" s="10" t="s">
        <v>54</v>
      </c>
      <c r="D473" s="10" t="s">
        <v>776</v>
      </c>
      <c r="E473" s="10" t="s">
        <v>776</v>
      </c>
      <c r="F473" s="10" t="s">
        <v>60</v>
      </c>
      <c r="G473" s="10">
        <v>0.455063</v>
      </c>
      <c r="H473" s="10"/>
      <c r="I473" s="10">
        <v>1</v>
      </c>
    </row>
    <row r="474" spans="1:9" x14ac:dyDescent="0.25">
      <c r="A474" s="10">
        <v>5</v>
      </c>
      <c r="B474" s="10" t="s">
        <v>48</v>
      </c>
      <c r="C474" s="10" t="s">
        <v>25</v>
      </c>
      <c r="D474" s="10"/>
      <c r="E474" s="10" t="s">
        <v>36</v>
      </c>
      <c r="F474" s="10" t="s">
        <v>27</v>
      </c>
      <c r="G474" s="10">
        <v>6.0409799999999996E-3</v>
      </c>
      <c r="H474" s="10"/>
      <c r="I474" s="10">
        <v>4</v>
      </c>
    </row>
    <row r="475" spans="1:9" x14ac:dyDescent="0.25">
      <c r="A475" s="9">
        <v>4</v>
      </c>
      <c r="B475" s="9" t="s">
        <v>777</v>
      </c>
      <c r="C475" s="9" t="s">
        <v>685</v>
      </c>
      <c r="D475" s="9" t="s">
        <v>778</v>
      </c>
      <c r="E475" s="9" t="s">
        <v>778</v>
      </c>
      <c r="H475" s="9" t="s">
        <v>19</v>
      </c>
      <c r="I475" s="9">
        <v>1</v>
      </c>
    </row>
    <row r="476" spans="1:9" x14ac:dyDescent="0.25">
      <c r="A476" s="10">
        <v>5</v>
      </c>
      <c r="B476" s="10" t="s">
        <v>779</v>
      </c>
      <c r="C476" s="10" t="s">
        <v>780</v>
      </c>
      <c r="D476" s="10" t="s">
        <v>781</v>
      </c>
      <c r="E476" s="10" t="s">
        <v>141</v>
      </c>
      <c r="F476" s="10" t="s">
        <v>782</v>
      </c>
      <c r="G476" s="10">
        <v>3.9038900000000001E-2</v>
      </c>
      <c r="H476" s="10" t="s">
        <v>19</v>
      </c>
      <c r="I476" s="10">
        <v>1</v>
      </c>
    </row>
    <row r="477" spans="1:9" x14ac:dyDescent="0.25">
      <c r="A477" s="10">
        <v>5</v>
      </c>
      <c r="B477" s="10" t="s">
        <v>783</v>
      </c>
      <c r="C477" s="10" t="s">
        <v>685</v>
      </c>
      <c r="D477" s="10" t="s">
        <v>784</v>
      </c>
      <c r="E477" s="10" t="s">
        <v>785</v>
      </c>
      <c r="F477" s="10" t="s">
        <v>60</v>
      </c>
      <c r="G477" s="10">
        <v>0.134294</v>
      </c>
      <c r="H477" s="10" t="s">
        <v>19</v>
      </c>
      <c r="I477" s="10">
        <v>1</v>
      </c>
    </row>
    <row r="478" spans="1:9" x14ac:dyDescent="0.25">
      <c r="A478" s="10">
        <v>5</v>
      </c>
      <c r="B478" s="10" t="s">
        <v>56</v>
      </c>
      <c r="C478" s="10" t="s">
        <v>25</v>
      </c>
      <c r="D478" s="10" t="s">
        <v>57</v>
      </c>
      <c r="E478" s="10" t="s">
        <v>57</v>
      </c>
      <c r="F478" s="10" t="s">
        <v>27</v>
      </c>
      <c r="G478" s="10"/>
      <c r="H478" s="10"/>
      <c r="I478" s="10">
        <v>16</v>
      </c>
    </row>
    <row r="479" spans="1:9" x14ac:dyDescent="0.25">
      <c r="A479" s="9">
        <v>4</v>
      </c>
      <c r="B479" s="9" t="s">
        <v>786</v>
      </c>
      <c r="C479" s="9" t="s">
        <v>17</v>
      </c>
      <c r="D479" s="9" t="s">
        <v>787</v>
      </c>
      <c r="E479" s="9" t="s">
        <v>787</v>
      </c>
      <c r="H479" s="9" t="s">
        <v>218</v>
      </c>
      <c r="I479" s="9">
        <v>1</v>
      </c>
    </row>
    <row r="480" spans="1:9" x14ac:dyDescent="0.25">
      <c r="A480" s="10">
        <v>5</v>
      </c>
      <c r="B480" s="10" t="s">
        <v>788</v>
      </c>
      <c r="C480" s="10" t="s">
        <v>25</v>
      </c>
      <c r="D480" s="10" t="s">
        <v>789</v>
      </c>
      <c r="E480" s="10" t="s">
        <v>790</v>
      </c>
      <c r="F480" s="10" t="s">
        <v>101</v>
      </c>
      <c r="G480" s="10">
        <v>9.3418799999999996E-2</v>
      </c>
      <c r="H480" s="10"/>
      <c r="I480" s="10">
        <v>1</v>
      </c>
    </row>
    <row r="481" spans="1:9" ht="165" x14ac:dyDescent="0.25">
      <c r="A481" s="10">
        <v>5</v>
      </c>
      <c r="B481" s="10" t="s">
        <v>791</v>
      </c>
      <c r="C481" s="10" t="s">
        <v>25</v>
      </c>
      <c r="D481" s="12" t="s">
        <v>792</v>
      </c>
      <c r="E481" s="10" t="s">
        <v>793</v>
      </c>
      <c r="F481" s="10" t="s">
        <v>101</v>
      </c>
      <c r="G481" s="10">
        <v>4.7199600000000001E-2</v>
      </c>
      <c r="H481" s="10"/>
      <c r="I481" s="10">
        <v>1</v>
      </c>
    </row>
    <row r="482" spans="1:9" ht="165" x14ac:dyDescent="0.25">
      <c r="A482" s="10">
        <v>5</v>
      </c>
      <c r="B482" s="10" t="s">
        <v>794</v>
      </c>
      <c r="C482" s="10" t="s">
        <v>25</v>
      </c>
      <c r="D482" s="12" t="s">
        <v>795</v>
      </c>
      <c r="E482" s="10" t="s">
        <v>793</v>
      </c>
      <c r="F482" s="10" t="s">
        <v>101</v>
      </c>
      <c r="G482" s="10">
        <v>2.9291600000000001E-2</v>
      </c>
      <c r="H482" s="10"/>
      <c r="I482" s="10">
        <v>1</v>
      </c>
    </row>
    <row r="483" spans="1:9" x14ac:dyDescent="0.25">
      <c r="A483" s="10">
        <v>5</v>
      </c>
      <c r="B483" s="10" t="s">
        <v>253</v>
      </c>
      <c r="C483" s="10" t="s">
        <v>25</v>
      </c>
      <c r="D483" s="10" t="s">
        <v>254</v>
      </c>
      <c r="E483" s="10" t="s">
        <v>254</v>
      </c>
      <c r="F483" s="10" t="s">
        <v>27</v>
      </c>
      <c r="G483" s="10"/>
      <c r="H483" s="10"/>
      <c r="I483" s="10">
        <v>8</v>
      </c>
    </row>
    <row r="484" spans="1:9" x14ac:dyDescent="0.25">
      <c r="A484" s="10">
        <v>5</v>
      </c>
      <c r="B484" s="10" t="s">
        <v>796</v>
      </c>
      <c r="C484" s="10" t="s">
        <v>25</v>
      </c>
      <c r="D484" s="10"/>
      <c r="E484" s="10" t="s">
        <v>5</v>
      </c>
      <c r="F484" s="10" t="s">
        <v>27</v>
      </c>
      <c r="G484" s="10"/>
      <c r="H484" s="10"/>
      <c r="I484" s="10">
        <v>8</v>
      </c>
    </row>
    <row r="485" spans="1:9" x14ac:dyDescent="0.25">
      <c r="A485" s="9">
        <v>4</v>
      </c>
      <c r="B485" s="9" t="s">
        <v>797</v>
      </c>
      <c r="C485" s="9" t="s">
        <v>798</v>
      </c>
      <c r="D485" s="9" t="s">
        <v>72</v>
      </c>
      <c r="E485" s="9" t="s">
        <v>72</v>
      </c>
      <c r="H485" s="9" t="s">
        <v>19</v>
      </c>
      <c r="I485" s="9">
        <v>1</v>
      </c>
    </row>
    <row r="486" spans="1:9" x14ac:dyDescent="0.25">
      <c r="A486" s="10">
        <v>5</v>
      </c>
      <c r="B486" s="10" t="s">
        <v>799</v>
      </c>
      <c r="C486" s="10" t="s">
        <v>798</v>
      </c>
      <c r="D486" s="10" t="s">
        <v>800</v>
      </c>
      <c r="E486" s="10" t="s">
        <v>800</v>
      </c>
      <c r="F486" s="10" t="s">
        <v>45</v>
      </c>
      <c r="G486" s="10">
        <v>0.177924</v>
      </c>
      <c r="H486" s="10" t="s">
        <v>19</v>
      </c>
      <c r="I486" s="10">
        <v>1</v>
      </c>
    </row>
    <row r="487" spans="1:9" x14ac:dyDescent="0.25">
      <c r="A487" s="10">
        <v>5</v>
      </c>
      <c r="B487" s="10" t="s">
        <v>75</v>
      </c>
      <c r="C487" s="10" t="s">
        <v>25</v>
      </c>
      <c r="D487" s="10" t="s">
        <v>76</v>
      </c>
      <c r="E487" s="10" t="s">
        <v>76</v>
      </c>
      <c r="F487" s="10" t="s">
        <v>27</v>
      </c>
      <c r="G487" s="10"/>
      <c r="H487" s="10"/>
      <c r="I487" s="10">
        <v>5</v>
      </c>
    </row>
    <row r="488" spans="1:9" x14ac:dyDescent="0.25">
      <c r="A488" s="10">
        <v>5</v>
      </c>
      <c r="B488" s="10" t="s">
        <v>51</v>
      </c>
      <c r="C488" s="10" t="s">
        <v>25</v>
      </c>
      <c r="D488" s="10" t="s">
        <v>52</v>
      </c>
      <c r="E488" s="10" t="s">
        <v>52</v>
      </c>
      <c r="F488" s="10" t="s">
        <v>27</v>
      </c>
      <c r="G488" s="10"/>
      <c r="H488" s="10"/>
      <c r="I488" s="10">
        <v>7</v>
      </c>
    </row>
    <row r="489" spans="1:9" x14ac:dyDescent="0.25">
      <c r="A489" s="10">
        <v>5</v>
      </c>
      <c r="B489" s="10" t="s">
        <v>56</v>
      </c>
      <c r="C489" s="10" t="s">
        <v>25</v>
      </c>
      <c r="D489" s="10" t="s">
        <v>57</v>
      </c>
      <c r="E489" s="10" t="s">
        <v>57</v>
      </c>
      <c r="F489" s="10" t="s">
        <v>27</v>
      </c>
      <c r="G489" s="10"/>
      <c r="H489" s="10"/>
      <c r="I489" s="10">
        <v>8</v>
      </c>
    </row>
    <row r="490" spans="1:9" x14ac:dyDescent="0.25">
      <c r="A490" s="10">
        <v>5</v>
      </c>
      <c r="B490" s="10" t="s">
        <v>49</v>
      </c>
      <c r="C490" s="10" t="s">
        <v>25</v>
      </c>
      <c r="D490" s="10" t="s">
        <v>50</v>
      </c>
      <c r="E490" s="10" t="s">
        <v>50</v>
      </c>
      <c r="F490" s="10" t="s">
        <v>27</v>
      </c>
      <c r="G490" s="10"/>
      <c r="H490" s="10"/>
      <c r="I490" s="10">
        <v>31</v>
      </c>
    </row>
    <row r="491" spans="1:9" x14ac:dyDescent="0.25">
      <c r="A491" s="9">
        <v>4</v>
      </c>
      <c r="B491" s="9" t="s">
        <v>801</v>
      </c>
      <c r="C491" s="9" t="s">
        <v>485</v>
      </c>
      <c r="D491" s="9" t="s">
        <v>802</v>
      </c>
      <c r="E491" s="9" t="s">
        <v>802</v>
      </c>
      <c r="H491" s="9" t="s">
        <v>19</v>
      </c>
      <c r="I491" s="9">
        <v>1</v>
      </c>
    </row>
    <row r="492" spans="1:9" x14ac:dyDescent="0.25">
      <c r="A492" s="10">
        <v>5</v>
      </c>
      <c r="B492" s="10" t="s">
        <v>803</v>
      </c>
      <c r="C492" s="10" t="s">
        <v>485</v>
      </c>
      <c r="D492" s="10" t="s">
        <v>804</v>
      </c>
      <c r="E492" s="10" t="s">
        <v>804</v>
      </c>
      <c r="F492" s="10" t="s">
        <v>45</v>
      </c>
      <c r="G492" s="10">
        <v>6.8682000000000007E-2</v>
      </c>
      <c r="H492" s="10" t="s">
        <v>19</v>
      </c>
      <c r="I492" s="10">
        <v>1</v>
      </c>
    </row>
    <row r="493" spans="1:9" x14ac:dyDescent="0.25">
      <c r="A493" s="10">
        <v>5</v>
      </c>
      <c r="B493" s="10" t="s">
        <v>49</v>
      </c>
      <c r="C493" s="10" t="s">
        <v>25</v>
      </c>
      <c r="D493" s="10" t="s">
        <v>50</v>
      </c>
      <c r="E493" s="10" t="s">
        <v>50</v>
      </c>
      <c r="F493" s="10" t="s">
        <v>27</v>
      </c>
      <c r="G493" s="10"/>
      <c r="H493" s="10"/>
      <c r="I493" s="10">
        <v>12</v>
      </c>
    </row>
    <row r="494" spans="1:9" x14ac:dyDescent="0.25">
      <c r="A494" s="9">
        <v>4</v>
      </c>
      <c r="B494" s="9" t="s">
        <v>805</v>
      </c>
      <c r="C494" s="9" t="s">
        <v>485</v>
      </c>
      <c r="D494" s="9" t="s">
        <v>802</v>
      </c>
      <c r="E494" s="9" t="s">
        <v>802</v>
      </c>
      <c r="H494" s="9" t="s">
        <v>19</v>
      </c>
      <c r="I494" s="9">
        <v>1</v>
      </c>
    </row>
    <row r="495" spans="1:9" x14ac:dyDescent="0.25">
      <c r="A495" s="10">
        <v>5</v>
      </c>
      <c r="B495" s="10" t="s">
        <v>806</v>
      </c>
      <c r="C495" s="10" t="s">
        <v>485</v>
      </c>
      <c r="D495" s="10" t="s">
        <v>804</v>
      </c>
      <c r="E495" s="10" t="s">
        <v>804</v>
      </c>
      <c r="F495" s="10" t="s">
        <v>45</v>
      </c>
      <c r="G495" s="10">
        <v>6.8727800000000006E-2</v>
      </c>
      <c r="H495" s="10" t="s">
        <v>19</v>
      </c>
      <c r="I495" s="10">
        <v>1</v>
      </c>
    </row>
    <row r="496" spans="1:9" x14ac:dyDescent="0.25">
      <c r="A496" s="10">
        <v>5</v>
      </c>
      <c r="B496" s="10" t="s">
        <v>49</v>
      </c>
      <c r="C496" s="10" t="s">
        <v>25</v>
      </c>
      <c r="D496" s="10" t="s">
        <v>50</v>
      </c>
      <c r="E496" s="10" t="s">
        <v>50</v>
      </c>
      <c r="F496" s="10" t="s">
        <v>27</v>
      </c>
      <c r="G496" s="10"/>
      <c r="H496" s="10"/>
      <c r="I496" s="10">
        <v>10</v>
      </c>
    </row>
    <row r="497" spans="1:9" x14ac:dyDescent="0.25">
      <c r="A497" s="9">
        <v>4</v>
      </c>
      <c r="B497" s="9" t="s">
        <v>807</v>
      </c>
      <c r="C497" s="9" t="s">
        <v>485</v>
      </c>
      <c r="D497" s="9" t="s">
        <v>802</v>
      </c>
      <c r="E497" s="9" t="s">
        <v>802</v>
      </c>
      <c r="H497" s="9" t="s">
        <v>19</v>
      </c>
      <c r="I497" s="9">
        <v>1</v>
      </c>
    </row>
    <row r="498" spans="1:9" x14ac:dyDescent="0.25">
      <c r="A498" s="10">
        <v>5</v>
      </c>
      <c r="B498" s="10" t="s">
        <v>808</v>
      </c>
      <c r="C498" s="10" t="s">
        <v>485</v>
      </c>
      <c r="D498" s="10" t="s">
        <v>804</v>
      </c>
      <c r="E498" s="10" t="s">
        <v>804</v>
      </c>
      <c r="F498" s="10" t="s">
        <v>45</v>
      </c>
      <c r="G498" s="10">
        <v>8.8995099999999994E-2</v>
      </c>
      <c r="H498" s="10" t="s">
        <v>19</v>
      </c>
      <c r="I498" s="10">
        <v>1</v>
      </c>
    </row>
    <row r="499" spans="1:9" x14ac:dyDescent="0.25">
      <c r="A499" s="10">
        <v>5</v>
      </c>
      <c r="B499" s="10" t="s">
        <v>809</v>
      </c>
      <c r="C499" s="10" t="s">
        <v>25</v>
      </c>
      <c r="D499" s="10"/>
      <c r="E499" s="10" t="s">
        <v>810</v>
      </c>
      <c r="F499" s="10" t="s">
        <v>27</v>
      </c>
      <c r="G499" s="10"/>
      <c r="H499" s="10"/>
      <c r="I499" s="10">
        <v>4</v>
      </c>
    </row>
    <row r="500" spans="1:9" x14ac:dyDescent="0.25">
      <c r="A500" s="10">
        <v>5</v>
      </c>
      <c r="B500" s="10" t="s">
        <v>49</v>
      </c>
      <c r="C500" s="10" t="s">
        <v>25</v>
      </c>
      <c r="D500" s="10" t="s">
        <v>50</v>
      </c>
      <c r="E500" s="10" t="s">
        <v>50</v>
      </c>
      <c r="F500" s="10" t="s">
        <v>27</v>
      </c>
      <c r="G500" s="10"/>
      <c r="H500" s="10"/>
      <c r="I500" s="10">
        <v>14</v>
      </c>
    </row>
    <row r="501" spans="1:9" x14ac:dyDescent="0.25">
      <c r="A501" s="9">
        <v>4</v>
      </c>
      <c r="B501" s="9" t="s">
        <v>811</v>
      </c>
      <c r="C501" s="9" t="s">
        <v>485</v>
      </c>
      <c r="D501" s="9" t="s">
        <v>802</v>
      </c>
      <c r="E501" s="9" t="s">
        <v>802</v>
      </c>
      <c r="H501" s="9" t="s">
        <v>19</v>
      </c>
      <c r="I501" s="9">
        <v>1</v>
      </c>
    </row>
    <row r="502" spans="1:9" x14ac:dyDescent="0.25">
      <c r="A502" s="10">
        <v>5</v>
      </c>
      <c r="B502" s="10" t="s">
        <v>812</v>
      </c>
      <c r="C502" s="10" t="s">
        <v>485</v>
      </c>
      <c r="D502" s="10" t="s">
        <v>804</v>
      </c>
      <c r="E502" s="10" t="s">
        <v>804</v>
      </c>
      <c r="F502" s="10" t="s">
        <v>45</v>
      </c>
      <c r="G502" s="10">
        <v>1.4823599999999999E-2</v>
      </c>
      <c r="H502" s="10" t="s">
        <v>19</v>
      </c>
      <c r="I502" s="10">
        <v>1</v>
      </c>
    </row>
    <row r="503" spans="1:9" x14ac:dyDescent="0.25">
      <c r="A503" s="10">
        <v>5</v>
      </c>
      <c r="B503" s="10" t="s">
        <v>49</v>
      </c>
      <c r="C503" s="10" t="s">
        <v>25</v>
      </c>
      <c r="D503" s="10" t="s">
        <v>50</v>
      </c>
      <c r="E503" s="10" t="s">
        <v>50</v>
      </c>
      <c r="F503" s="10" t="s">
        <v>27</v>
      </c>
      <c r="G503" s="10"/>
      <c r="H503" s="10"/>
      <c r="I503" s="10">
        <v>6</v>
      </c>
    </row>
    <row r="504" spans="1:9" x14ac:dyDescent="0.25">
      <c r="A504" s="9">
        <v>4</v>
      </c>
      <c r="B504" s="9" t="s">
        <v>813</v>
      </c>
      <c r="C504" s="9" t="s">
        <v>78</v>
      </c>
      <c r="D504" s="9" t="s">
        <v>133</v>
      </c>
      <c r="E504" s="9" t="s">
        <v>133</v>
      </c>
      <c r="H504" s="9" t="s">
        <v>19</v>
      </c>
      <c r="I504" s="9">
        <v>1</v>
      </c>
    </row>
    <row r="505" spans="1:9" x14ac:dyDescent="0.25">
      <c r="A505" s="10">
        <v>5</v>
      </c>
      <c r="B505" s="10" t="s">
        <v>814</v>
      </c>
      <c r="C505" s="10" t="s">
        <v>78</v>
      </c>
      <c r="D505" s="10" t="s">
        <v>815</v>
      </c>
      <c r="E505" s="10" t="s">
        <v>22</v>
      </c>
      <c r="F505" s="10" t="s">
        <v>80</v>
      </c>
      <c r="G505" s="10">
        <v>0.583592</v>
      </c>
      <c r="H505" s="10" t="s">
        <v>19</v>
      </c>
      <c r="I505" s="10">
        <v>1</v>
      </c>
    </row>
    <row r="506" spans="1:9" x14ac:dyDescent="0.25">
      <c r="A506" s="10">
        <v>5</v>
      </c>
      <c r="B506" s="10" t="s">
        <v>37</v>
      </c>
      <c r="C506" s="10" t="s">
        <v>25</v>
      </c>
      <c r="D506" s="10" t="s">
        <v>38</v>
      </c>
      <c r="E506" s="10" t="s">
        <v>38</v>
      </c>
      <c r="F506" s="10" t="s">
        <v>27</v>
      </c>
      <c r="G506" s="10">
        <v>1.3392499999999999E-3</v>
      </c>
      <c r="H506" s="10"/>
      <c r="I506" s="10">
        <v>4</v>
      </c>
    </row>
    <row r="507" spans="1:9" x14ac:dyDescent="0.25">
      <c r="A507" s="10">
        <v>5</v>
      </c>
      <c r="B507" s="10" t="s">
        <v>84</v>
      </c>
      <c r="C507" s="10" t="s">
        <v>25</v>
      </c>
      <c r="D507" s="10" t="s">
        <v>50</v>
      </c>
      <c r="E507" s="10" t="s">
        <v>50</v>
      </c>
      <c r="F507" s="10" t="s">
        <v>27</v>
      </c>
      <c r="G507" s="10"/>
      <c r="H507" s="10"/>
      <c r="I507" s="10">
        <v>10</v>
      </c>
    </row>
    <row r="508" spans="1:9" x14ac:dyDescent="0.25">
      <c r="A508" s="9">
        <v>4</v>
      </c>
      <c r="B508" s="9" t="s">
        <v>816</v>
      </c>
      <c r="C508" s="9" t="s">
        <v>227</v>
      </c>
      <c r="D508" s="9" t="s">
        <v>244</v>
      </c>
      <c r="E508" s="9" t="s">
        <v>244</v>
      </c>
      <c r="F508" s="9" t="s">
        <v>101</v>
      </c>
      <c r="G508" s="9">
        <v>0.14205899999999999</v>
      </c>
      <c r="H508" s="9" t="s">
        <v>102</v>
      </c>
      <c r="I508" s="9">
        <v>1</v>
      </c>
    </row>
    <row r="509" spans="1:9" x14ac:dyDescent="0.25">
      <c r="A509" s="9">
        <v>4</v>
      </c>
      <c r="B509" s="9" t="s">
        <v>817</v>
      </c>
      <c r="C509" s="9" t="s">
        <v>227</v>
      </c>
      <c r="D509" s="9" t="s">
        <v>244</v>
      </c>
      <c r="E509" s="9" t="s">
        <v>244</v>
      </c>
      <c r="F509" s="9" t="s">
        <v>101</v>
      </c>
      <c r="G509" s="9">
        <v>0.195747</v>
      </c>
      <c r="H509" s="9" t="s">
        <v>102</v>
      </c>
      <c r="I509" s="9">
        <v>1</v>
      </c>
    </row>
    <row r="510" spans="1:9" x14ac:dyDescent="0.25">
      <c r="A510" s="9">
        <v>4</v>
      </c>
      <c r="B510" s="9" t="s">
        <v>818</v>
      </c>
      <c r="C510" s="9" t="s">
        <v>227</v>
      </c>
      <c r="D510" s="9" t="s">
        <v>111</v>
      </c>
      <c r="E510" s="9" t="s">
        <v>111</v>
      </c>
      <c r="F510" s="9" t="s">
        <v>101</v>
      </c>
      <c r="G510" s="9">
        <v>0.20991499999999999</v>
      </c>
      <c r="H510" s="9" t="s">
        <v>102</v>
      </c>
      <c r="I510" s="9">
        <v>1</v>
      </c>
    </row>
    <row r="511" spans="1:9" x14ac:dyDescent="0.25">
      <c r="A511" s="9">
        <v>4</v>
      </c>
      <c r="B511" s="9" t="s">
        <v>819</v>
      </c>
      <c r="C511" s="9" t="s">
        <v>820</v>
      </c>
      <c r="D511" s="9" t="s">
        <v>821</v>
      </c>
      <c r="E511" s="9" t="s">
        <v>31</v>
      </c>
      <c r="H511" s="9" t="s">
        <v>19</v>
      </c>
      <c r="I511" s="9">
        <v>1</v>
      </c>
    </row>
    <row r="512" spans="1:9" x14ac:dyDescent="0.25">
      <c r="A512" s="10">
        <v>5</v>
      </c>
      <c r="B512" s="10" t="s">
        <v>822</v>
      </c>
      <c r="C512" s="10" t="s">
        <v>820</v>
      </c>
      <c r="D512" s="10" t="s">
        <v>823</v>
      </c>
      <c r="E512" s="10" t="s">
        <v>824</v>
      </c>
      <c r="F512" s="10" t="s">
        <v>45</v>
      </c>
      <c r="G512" s="10">
        <v>0.1454</v>
      </c>
      <c r="H512" s="10" t="s">
        <v>19</v>
      </c>
      <c r="I512" s="10">
        <v>1</v>
      </c>
    </row>
    <row r="513" spans="1:9" x14ac:dyDescent="0.25">
      <c r="A513" s="10">
        <v>5</v>
      </c>
      <c r="B513" s="10" t="s">
        <v>51</v>
      </c>
      <c r="C513" s="10" t="s">
        <v>25</v>
      </c>
      <c r="D513" s="10" t="s">
        <v>52</v>
      </c>
      <c r="E513" s="10" t="s">
        <v>52</v>
      </c>
      <c r="F513" s="10" t="s">
        <v>27</v>
      </c>
      <c r="G513" s="10"/>
      <c r="H513" s="10"/>
      <c r="I513" s="10">
        <v>4</v>
      </c>
    </row>
    <row r="514" spans="1:9" x14ac:dyDescent="0.25">
      <c r="A514" s="10">
        <v>5</v>
      </c>
      <c r="B514" s="10" t="s">
        <v>90</v>
      </c>
      <c r="C514" s="10" t="s">
        <v>25</v>
      </c>
      <c r="D514" s="10"/>
      <c r="E514" s="10" t="s">
        <v>91</v>
      </c>
      <c r="F514" s="10" t="s">
        <v>27</v>
      </c>
      <c r="G514" s="10"/>
      <c r="H514" s="10"/>
      <c r="I514" s="10">
        <v>6</v>
      </c>
    </row>
    <row r="515" spans="1:9" x14ac:dyDescent="0.25">
      <c r="A515" s="10">
        <v>5</v>
      </c>
      <c r="B515" s="10" t="s">
        <v>49</v>
      </c>
      <c r="C515" s="10" t="s">
        <v>25</v>
      </c>
      <c r="D515" s="10" t="s">
        <v>50</v>
      </c>
      <c r="E515" s="10" t="s">
        <v>50</v>
      </c>
      <c r="F515" s="10" t="s">
        <v>27</v>
      </c>
      <c r="G515" s="10"/>
      <c r="H515" s="10"/>
      <c r="I515" s="10">
        <v>50</v>
      </c>
    </row>
    <row r="516" spans="1:9" x14ac:dyDescent="0.25">
      <c r="A516" s="9">
        <v>4</v>
      </c>
      <c r="B516" s="9" t="s">
        <v>825</v>
      </c>
      <c r="C516" s="9" t="s">
        <v>17</v>
      </c>
      <c r="D516" s="9" t="s">
        <v>826</v>
      </c>
      <c r="E516" s="9" t="s">
        <v>827</v>
      </c>
      <c r="H516" s="9"/>
      <c r="I516" s="9">
        <v>1</v>
      </c>
    </row>
    <row r="517" spans="1:9" x14ac:dyDescent="0.25">
      <c r="A517" s="10">
        <v>5</v>
      </c>
      <c r="B517" s="10" t="s">
        <v>828</v>
      </c>
      <c r="C517" s="10" t="s">
        <v>17</v>
      </c>
      <c r="D517" s="10" t="s">
        <v>829</v>
      </c>
      <c r="E517" s="10" t="s">
        <v>22</v>
      </c>
      <c r="F517" s="10"/>
      <c r="G517" s="10">
        <v>12.625400000000001</v>
      </c>
      <c r="H517" s="10"/>
      <c r="I517" s="10">
        <v>1</v>
      </c>
    </row>
    <row r="518" spans="1:9" x14ac:dyDescent="0.25">
      <c r="A518" s="10">
        <v>5</v>
      </c>
      <c r="B518" s="10" t="s">
        <v>118</v>
      </c>
      <c r="C518" s="10" t="s">
        <v>25</v>
      </c>
      <c r="D518" s="10" t="s">
        <v>76</v>
      </c>
      <c r="E518" s="10" t="s">
        <v>76</v>
      </c>
      <c r="F518" s="10" t="s">
        <v>27</v>
      </c>
      <c r="G518" s="10"/>
      <c r="H518" s="10"/>
      <c r="I518" s="10">
        <v>2</v>
      </c>
    </row>
    <row r="519" spans="1:9" x14ac:dyDescent="0.25">
      <c r="A519" s="10">
        <v>5</v>
      </c>
      <c r="B519" s="10" t="s">
        <v>116</v>
      </c>
      <c r="C519" s="10" t="s">
        <v>25</v>
      </c>
      <c r="D519" s="10"/>
      <c r="E519" s="10" t="s">
        <v>117</v>
      </c>
      <c r="F519" s="10" t="s">
        <v>27</v>
      </c>
      <c r="G519" s="10"/>
      <c r="H519" s="10"/>
      <c r="I519" s="10">
        <v>6</v>
      </c>
    </row>
    <row r="520" spans="1:9" x14ac:dyDescent="0.25">
      <c r="A520" s="10">
        <v>5</v>
      </c>
      <c r="B520" s="10" t="s">
        <v>830</v>
      </c>
      <c r="C520" s="10" t="s">
        <v>25</v>
      </c>
      <c r="D520" s="10" t="s">
        <v>52</v>
      </c>
      <c r="E520" s="10" t="s">
        <v>52</v>
      </c>
      <c r="F520" s="10" t="s">
        <v>27</v>
      </c>
      <c r="G520" s="10"/>
      <c r="H520" s="10"/>
      <c r="I520" s="10">
        <v>7</v>
      </c>
    </row>
    <row r="521" spans="1:9" x14ac:dyDescent="0.25">
      <c r="A521" s="10">
        <v>5</v>
      </c>
      <c r="B521" s="10" t="s">
        <v>119</v>
      </c>
      <c r="C521" s="10" t="s">
        <v>25</v>
      </c>
      <c r="D521" s="10" t="s">
        <v>50</v>
      </c>
      <c r="E521" s="10" t="s">
        <v>50</v>
      </c>
      <c r="F521" s="10" t="s">
        <v>27</v>
      </c>
      <c r="G521" s="10"/>
      <c r="H521" s="10"/>
      <c r="I521" s="10">
        <v>52</v>
      </c>
    </row>
    <row r="522" spans="1:9" x14ac:dyDescent="0.25">
      <c r="A522" s="9">
        <v>4</v>
      </c>
      <c r="B522" s="9" t="s">
        <v>831</v>
      </c>
      <c r="C522" s="9" t="s">
        <v>40</v>
      </c>
      <c r="D522" s="9" t="s">
        <v>832</v>
      </c>
      <c r="E522" s="9" t="s">
        <v>833</v>
      </c>
      <c r="H522" s="9" t="s">
        <v>19</v>
      </c>
      <c r="I522" s="9">
        <v>1</v>
      </c>
    </row>
    <row r="523" spans="1:9" x14ac:dyDescent="0.25">
      <c r="A523" s="10">
        <v>5</v>
      </c>
      <c r="B523" s="10" t="s">
        <v>834</v>
      </c>
      <c r="C523" s="10" t="s">
        <v>40</v>
      </c>
      <c r="D523" s="10" t="s">
        <v>835</v>
      </c>
      <c r="E523" s="10" t="s">
        <v>355</v>
      </c>
      <c r="F523" s="10" t="s">
        <v>114</v>
      </c>
      <c r="G523" s="10">
        <v>1.9977100000000001</v>
      </c>
      <c r="H523" s="10" t="s">
        <v>19</v>
      </c>
      <c r="I523" s="10">
        <v>1</v>
      </c>
    </row>
    <row r="524" spans="1:9" x14ac:dyDescent="0.25">
      <c r="A524" s="10">
        <v>5</v>
      </c>
      <c r="B524" s="10" t="s">
        <v>115</v>
      </c>
      <c r="C524" s="10" t="s">
        <v>25</v>
      </c>
      <c r="D524" s="10"/>
      <c r="E524" s="10" t="s">
        <v>36</v>
      </c>
      <c r="F524" s="10" t="s">
        <v>27</v>
      </c>
      <c r="G524" s="10"/>
      <c r="H524" s="10"/>
      <c r="I524" s="10">
        <v>4</v>
      </c>
    </row>
    <row r="525" spans="1:9" x14ac:dyDescent="0.25">
      <c r="A525" s="10">
        <v>5</v>
      </c>
      <c r="B525" s="10" t="s">
        <v>836</v>
      </c>
      <c r="C525" s="10" t="s">
        <v>25</v>
      </c>
      <c r="D525" s="10" t="s">
        <v>57</v>
      </c>
      <c r="E525" s="10" t="s">
        <v>57</v>
      </c>
      <c r="F525" s="10" t="s">
        <v>27</v>
      </c>
      <c r="G525" s="10"/>
      <c r="H525" s="10"/>
      <c r="I525" s="10">
        <v>6</v>
      </c>
    </row>
    <row r="526" spans="1:9" x14ac:dyDescent="0.25">
      <c r="A526" s="10">
        <v>5</v>
      </c>
      <c r="B526" s="10" t="s">
        <v>116</v>
      </c>
      <c r="C526" s="10" t="s">
        <v>25</v>
      </c>
      <c r="D526" s="10"/>
      <c r="E526" s="10" t="s">
        <v>117</v>
      </c>
      <c r="F526" s="10" t="s">
        <v>27</v>
      </c>
      <c r="G526" s="10"/>
      <c r="H526" s="10"/>
      <c r="I526" s="10">
        <v>8</v>
      </c>
    </row>
    <row r="527" spans="1:9" x14ac:dyDescent="0.25">
      <c r="A527" s="10">
        <v>5</v>
      </c>
      <c r="B527" s="10" t="s">
        <v>837</v>
      </c>
      <c r="C527" s="10" t="s">
        <v>25</v>
      </c>
      <c r="D527" s="10"/>
      <c r="E527" s="10" t="s">
        <v>91</v>
      </c>
      <c r="F527" s="10" t="s">
        <v>27</v>
      </c>
      <c r="G527" s="10"/>
      <c r="H527" s="10"/>
      <c r="I527" s="10">
        <v>8</v>
      </c>
    </row>
    <row r="528" spans="1:9" x14ac:dyDescent="0.25">
      <c r="A528" s="10">
        <v>5</v>
      </c>
      <c r="B528" s="10" t="s">
        <v>830</v>
      </c>
      <c r="C528" s="10" t="s">
        <v>25</v>
      </c>
      <c r="D528" s="10" t="s">
        <v>52</v>
      </c>
      <c r="E528" s="10" t="s">
        <v>52</v>
      </c>
      <c r="F528" s="10" t="s">
        <v>27</v>
      </c>
      <c r="G528" s="10"/>
      <c r="H528" s="10"/>
      <c r="I528" s="10">
        <v>13</v>
      </c>
    </row>
    <row r="529" spans="1:9" x14ac:dyDescent="0.25">
      <c r="A529" s="10">
        <v>5</v>
      </c>
      <c r="B529" s="10" t="s">
        <v>119</v>
      </c>
      <c r="C529" s="10" t="s">
        <v>25</v>
      </c>
      <c r="D529" s="10" t="s">
        <v>50</v>
      </c>
      <c r="E529" s="10" t="s">
        <v>50</v>
      </c>
      <c r="F529" s="10" t="s">
        <v>27</v>
      </c>
      <c r="G529" s="10"/>
      <c r="H529" s="10"/>
      <c r="I529" s="10">
        <v>49</v>
      </c>
    </row>
    <row r="530" spans="1:9" x14ac:dyDescent="0.25">
      <c r="A530" s="9">
        <v>4</v>
      </c>
      <c r="B530" s="9" t="s">
        <v>838</v>
      </c>
      <c r="C530" s="9" t="s">
        <v>78</v>
      </c>
      <c r="D530" s="9" t="s">
        <v>31</v>
      </c>
      <c r="E530" s="9" t="s">
        <v>31</v>
      </c>
      <c r="H530" s="9"/>
      <c r="I530" s="9">
        <v>1</v>
      </c>
    </row>
    <row r="531" spans="1:9" x14ac:dyDescent="0.25">
      <c r="A531" s="10">
        <v>5</v>
      </c>
      <c r="B531" s="10" t="s">
        <v>839</v>
      </c>
      <c r="C531" s="10" t="s">
        <v>78</v>
      </c>
      <c r="D531" s="10" t="s">
        <v>22</v>
      </c>
      <c r="E531" s="10" t="s">
        <v>22</v>
      </c>
      <c r="F531" s="10" t="s">
        <v>45</v>
      </c>
      <c r="G531" s="10">
        <v>3.5486900000000002E-2</v>
      </c>
      <c r="H531" s="10"/>
      <c r="I531" s="10">
        <v>1</v>
      </c>
    </row>
    <row r="532" spans="1:9" x14ac:dyDescent="0.25">
      <c r="A532" s="10">
        <v>5</v>
      </c>
      <c r="B532" s="10" t="s">
        <v>49</v>
      </c>
      <c r="C532" s="10" t="s">
        <v>25</v>
      </c>
      <c r="D532" s="10" t="s">
        <v>50</v>
      </c>
      <c r="E532" s="10" t="s">
        <v>50</v>
      </c>
      <c r="F532" s="10" t="s">
        <v>27</v>
      </c>
      <c r="G532" s="10"/>
      <c r="H532" s="10"/>
      <c r="I532" s="10">
        <v>24</v>
      </c>
    </row>
    <row r="533" spans="1:9" x14ac:dyDescent="0.25">
      <c r="A533" s="9">
        <v>4</v>
      </c>
      <c r="B533" s="9" t="s">
        <v>840</v>
      </c>
      <c r="C533" s="9" t="s">
        <v>841</v>
      </c>
      <c r="D533" s="9" t="s">
        <v>842</v>
      </c>
      <c r="E533" s="9" t="s">
        <v>843</v>
      </c>
      <c r="H533" s="9" t="s">
        <v>19</v>
      </c>
      <c r="I533" s="9">
        <v>1</v>
      </c>
    </row>
    <row r="534" spans="1:9" x14ac:dyDescent="0.25">
      <c r="A534" s="10">
        <v>5</v>
      </c>
      <c r="B534" s="10" t="s">
        <v>56</v>
      </c>
      <c r="C534" s="10" t="s">
        <v>25</v>
      </c>
      <c r="D534" s="10" t="s">
        <v>57</v>
      </c>
      <c r="E534" s="10" t="s">
        <v>57</v>
      </c>
      <c r="F534" s="10" t="s">
        <v>27</v>
      </c>
      <c r="G534" s="10"/>
      <c r="H534" s="10"/>
      <c r="I534" s="10">
        <v>1</v>
      </c>
    </row>
    <row r="535" spans="1:9" x14ac:dyDescent="0.25">
      <c r="A535" s="10">
        <v>5</v>
      </c>
      <c r="B535" s="10" t="s">
        <v>844</v>
      </c>
      <c r="C535" s="10" t="s">
        <v>841</v>
      </c>
      <c r="D535" s="10" t="s">
        <v>22</v>
      </c>
      <c r="E535" s="10" t="s">
        <v>22</v>
      </c>
      <c r="F535" s="10" t="s">
        <v>45</v>
      </c>
      <c r="G535" s="10">
        <v>9.0842099999999995E-2</v>
      </c>
      <c r="H535" s="10" t="s">
        <v>19</v>
      </c>
      <c r="I535" s="10">
        <v>1</v>
      </c>
    </row>
    <row r="536" spans="1:9" x14ac:dyDescent="0.25">
      <c r="A536" s="10">
        <v>5</v>
      </c>
      <c r="B536" s="10" t="s">
        <v>48</v>
      </c>
      <c r="C536" s="10" t="s">
        <v>25</v>
      </c>
      <c r="D536" s="10"/>
      <c r="E536" s="10" t="s">
        <v>36</v>
      </c>
      <c r="F536" s="10" t="s">
        <v>27</v>
      </c>
      <c r="G536" s="10">
        <v>6.0409799999999996E-3</v>
      </c>
      <c r="H536" s="10"/>
      <c r="I536" s="10">
        <v>12</v>
      </c>
    </row>
    <row r="537" spans="1:9" x14ac:dyDescent="0.25">
      <c r="A537" s="10">
        <v>5</v>
      </c>
      <c r="B537" s="10" t="s">
        <v>49</v>
      </c>
      <c r="C537" s="10" t="s">
        <v>25</v>
      </c>
      <c r="D537" s="10" t="s">
        <v>50</v>
      </c>
      <c r="E537" s="10" t="s">
        <v>50</v>
      </c>
      <c r="F537" s="10" t="s">
        <v>27</v>
      </c>
      <c r="G537" s="10"/>
      <c r="H537" s="10"/>
      <c r="I537" s="10">
        <v>14</v>
      </c>
    </row>
    <row r="538" spans="1:9" x14ac:dyDescent="0.25">
      <c r="A538" s="9">
        <v>4</v>
      </c>
      <c r="B538" s="9" t="s">
        <v>845</v>
      </c>
      <c r="C538" s="9" t="s">
        <v>841</v>
      </c>
      <c r="D538" s="9" t="s">
        <v>846</v>
      </c>
      <c r="E538" s="9" t="s">
        <v>843</v>
      </c>
      <c r="H538" s="9" t="s">
        <v>19</v>
      </c>
      <c r="I538" s="9">
        <v>1</v>
      </c>
    </row>
    <row r="539" spans="1:9" x14ac:dyDescent="0.25">
      <c r="A539" s="10">
        <v>5</v>
      </c>
      <c r="B539" s="10" t="s">
        <v>56</v>
      </c>
      <c r="C539" s="10" t="s">
        <v>25</v>
      </c>
      <c r="D539" s="10" t="s">
        <v>57</v>
      </c>
      <c r="E539" s="10" t="s">
        <v>57</v>
      </c>
      <c r="F539" s="10" t="s">
        <v>27</v>
      </c>
      <c r="G539" s="10"/>
      <c r="H539" s="10"/>
      <c r="I539" s="10">
        <v>1</v>
      </c>
    </row>
    <row r="540" spans="1:9" x14ac:dyDescent="0.25">
      <c r="A540" s="10">
        <v>5</v>
      </c>
      <c r="B540" s="10" t="s">
        <v>847</v>
      </c>
      <c r="C540" s="10" t="s">
        <v>841</v>
      </c>
      <c r="D540" s="10" t="s">
        <v>22</v>
      </c>
      <c r="E540" s="10" t="s">
        <v>22</v>
      </c>
      <c r="F540" s="10" t="s">
        <v>45</v>
      </c>
      <c r="G540" s="10">
        <v>8.8359199999999999E-2</v>
      </c>
      <c r="H540" s="10" t="s">
        <v>19</v>
      </c>
      <c r="I540" s="10">
        <v>1</v>
      </c>
    </row>
    <row r="541" spans="1:9" x14ac:dyDescent="0.25">
      <c r="A541" s="10">
        <v>5</v>
      </c>
      <c r="B541" s="10" t="s">
        <v>49</v>
      </c>
      <c r="C541" s="10" t="s">
        <v>25</v>
      </c>
      <c r="D541" s="10" t="s">
        <v>50</v>
      </c>
      <c r="E541" s="10" t="s">
        <v>50</v>
      </c>
      <c r="F541" s="10" t="s">
        <v>27</v>
      </c>
      <c r="G541" s="10"/>
      <c r="H541" s="10"/>
      <c r="I541" s="10">
        <v>8</v>
      </c>
    </row>
    <row r="542" spans="1:9" x14ac:dyDescent="0.25">
      <c r="A542" s="10">
        <v>5</v>
      </c>
      <c r="B542" s="10" t="s">
        <v>48</v>
      </c>
      <c r="C542" s="10" t="s">
        <v>25</v>
      </c>
      <c r="D542" s="10"/>
      <c r="E542" s="10" t="s">
        <v>36</v>
      </c>
      <c r="F542" s="10" t="s">
        <v>27</v>
      </c>
      <c r="G542" s="10">
        <v>6.0409799999999996E-3</v>
      </c>
      <c r="H542" s="10"/>
      <c r="I542" s="10">
        <v>18</v>
      </c>
    </row>
    <row r="543" spans="1:9" x14ac:dyDescent="0.25">
      <c r="A543" s="9">
        <v>4</v>
      </c>
      <c r="B543" s="9" t="s">
        <v>848</v>
      </c>
      <c r="C543" s="9" t="s">
        <v>29</v>
      </c>
      <c r="D543" s="9" t="s">
        <v>849</v>
      </c>
      <c r="E543" s="9" t="s">
        <v>849</v>
      </c>
      <c r="F543" s="9" t="s">
        <v>101</v>
      </c>
      <c r="G543" s="9">
        <v>0.12261</v>
      </c>
      <c r="H543" s="9"/>
      <c r="I543" s="9">
        <v>1</v>
      </c>
    </row>
    <row r="544" spans="1:9" x14ac:dyDescent="0.25">
      <c r="A544" s="9">
        <v>4</v>
      </c>
      <c r="B544" s="9" t="s">
        <v>850</v>
      </c>
      <c r="C544" s="9" t="s">
        <v>70</v>
      </c>
      <c r="D544" s="9" t="s">
        <v>851</v>
      </c>
      <c r="E544" s="9" t="s">
        <v>851</v>
      </c>
      <c r="F544" s="9" t="s">
        <v>101</v>
      </c>
      <c r="G544" s="9">
        <v>0.32822099999999998</v>
      </c>
      <c r="H544" s="9" t="s">
        <v>852</v>
      </c>
      <c r="I544" s="9">
        <v>2</v>
      </c>
    </row>
    <row r="545" spans="1:9" x14ac:dyDescent="0.25">
      <c r="A545" s="9">
        <v>4</v>
      </c>
      <c r="B545" s="9" t="s">
        <v>853</v>
      </c>
      <c r="C545" s="9" t="s">
        <v>17</v>
      </c>
      <c r="D545" s="9" t="s">
        <v>854</v>
      </c>
      <c r="E545" s="9" t="s">
        <v>854</v>
      </c>
      <c r="H545" s="9" t="s">
        <v>218</v>
      </c>
      <c r="I545" s="9">
        <v>2</v>
      </c>
    </row>
    <row r="546" spans="1:9" x14ac:dyDescent="0.25">
      <c r="A546" s="10">
        <v>5</v>
      </c>
      <c r="B546" s="10" t="s">
        <v>855</v>
      </c>
      <c r="C546" s="10" t="s">
        <v>25</v>
      </c>
      <c r="D546" s="10" t="s">
        <v>789</v>
      </c>
      <c r="E546" s="10" t="s">
        <v>790</v>
      </c>
      <c r="F546" s="10" t="s">
        <v>101</v>
      </c>
      <c r="G546" s="10">
        <v>0.101801</v>
      </c>
      <c r="H546" s="10"/>
      <c r="I546" s="10">
        <v>1</v>
      </c>
    </row>
    <row r="547" spans="1:9" ht="165" x14ac:dyDescent="0.25">
      <c r="A547" s="10">
        <v>5</v>
      </c>
      <c r="B547" s="10" t="s">
        <v>856</v>
      </c>
      <c r="C547" s="10" t="s">
        <v>25</v>
      </c>
      <c r="D547" s="12" t="s">
        <v>857</v>
      </c>
      <c r="E547" s="10" t="s">
        <v>111</v>
      </c>
      <c r="F547" s="10" t="s">
        <v>101</v>
      </c>
      <c r="G547" s="10">
        <v>4.4286499999999999E-2</v>
      </c>
      <c r="H547" s="10"/>
      <c r="I547" s="10">
        <v>1</v>
      </c>
    </row>
    <row r="548" spans="1:9" ht="165" x14ac:dyDescent="0.25">
      <c r="A548" s="10">
        <v>5</v>
      </c>
      <c r="B548" s="10" t="s">
        <v>794</v>
      </c>
      <c r="C548" s="10" t="s">
        <v>25</v>
      </c>
      <c r="D548" s="12" t="s">
        <v>795</v>
      </c>
      <c r="E548" s="10" t="s">
        <v>793</v>
      </c>
      <c r="F548" s="10" t="s">
        <v>101</v>
      </c>
      <c r="G548" s="10">
        <v>2.9291600000000001E-2</v>
      </c>
      <c r="H548" s="10"/>
      <c r="I548" s="10">
        <v>1</v>
      </c>
    </row>
    <row r="549" spans="1:9" x14ac:dyDescent="0.25">
      <c r="A549" s="10">
        <v>5</v>
      </c>
      <c r="B549" s="10" t="s">
        <v>253</v>
      </c>
      <c r="C549" s="10" t="s">
        <v>25</v>
      </c>
      <c r="D549" s="10" t="s">
        <v>254</v>
      </c>
      <c r="E549" s="10" t="s">
        <v>254</v>
      </c>
      <c r="F549" s="10" t="s">
        <v>27</v>
      </c>
      <c r="G549" s="10"/>
      <c r="H549" s="10"/>
      <c r="I549" s="10">
        <v>8</v>
      </c>
    </row>
    <row r="550" spans="1:9" x14ac:dyDescent="0.25">
      <c r="A550" s="10">
        <v>5</v>
      </c>
      <c r="B550" s="10" t="s">
        <v>796</v>
      </c>
      <c r="C550" s="10" t="s">
        <v>25</v>
      </c>
      <c r="D550" s="10"/>
      <c r="E550" s="10" t="s">
        <v>5</v>
      </c>
      <c r="F550" s="10" t="s">
        <v>27</v>
      </c>
      <c r="G550" s="10"/>
      <c r="H550" s="10"/>
      <c r="I550" s="10">
        <v>8</v>
      </c>
    </row>
    <row r="551" spans="1:9" x14ac:dyDescent="0.25">
      <c r="A551" s="9">
        <v>4</v>
      </c>
      <c r="B551" s="9" t="s">
        <v>858</v>
      </c>
      <c r="C551" s="9" t="s">
        <v>86</v>
      </c>
      <c r="D551" s="9" t="s">
        <v>859</v>
      </c>
      <c r="E551" s="9" t="s">
        <v>859</v>
      </c>
      <c r="F551" s="9" t="s">
        <v>101</v>
      </c>
      <c r="G551" s="9">
        <v>5.6528399999999999E-2</v>
      </c>
      <c r="H551" s="9" t="s">
        <v>102</v>
      </c>
      <c r="I551" s="9">
        <v>2</v>
      </c>
    </row>
    <row r="552" spans="1:9" x14ac:dyDescent="0.25">
      <c r="A552" s="9">
        <v>4</v>
      </c>
      <c r="B552" s="9" t="s">
        <v>11</v>
      </c>
      <c r="C552" s="9" t="s">
        <v>29</v>
      </c>
      <c r="D552" s="9"/>
      <c r="E552" s="9"/>
      <c r="F552" s="9"/>
      <c r="G552" s="9">
        <v>3.41225E-2</v>
      </c>
      <c r="H552" s="9"/>
      <c r="I552" s="9">
        <v>2</v>
      </c>
    </row>
    <row r="553" spans="1:9" x14ac:dyDescent="0.25">
      <c r="A553" s="9">
        <v>4</v>
      </c>
      <c r="B553" s="9" t="s">
        <v>860</v>
      </c>
      <c r="C553" s="9" t="s">
        <v>86</v>
      </c>
      <c r="D553" s="9" t="s">
        <v>861</v>
      </c>
      <c r="E553" s="9" t="s">
        <v>861</v>
      </c>
      <c r="F553" s="9" t="s">
        <v>101</v>
      </c>
      <c r="G553" s="9">
        <v>8.3264900000000003E-2</v>
      </c>
      <c r="H553" s="9" t="s">
        <v>102</v>
      </c>
      <c r="I553" s="9">
        <v>2</v>
      </c>
    </row>
    <row r="554" spans="1:9" x14ac:dyDescent="0.25">
      <c r="A554" s="9">
        <v>4</v>
      </c>
      <c r="B554" s="9" t="s">
        <v>862</v>
      </c>
      <c r="C554" s="9" t="s">
        <v>35</v>
      </c>
      <c r="D554" s="9" t="s">
        <v>195</v>
      </c>
      <c r="E554" s="9" t="s">
        <v>195</v>
      </c>
      <c r="H554" s="9"/>
      <c r="I554" s="9">
        <v>3</v>
      </c>
    </row>
    <row r="555" spans="1:9" x14ac:dyDescent="0.25">
      <c r="A555" s="10">
        <v>5</v>
      </c>
      <c r="B555" s="10" t="s">
        <v>199</v>
      </c>
      <c r="C555" s="10" t="s">
        <v>25</v>
      </c>
      <c r="D555" s="10"/>
      <c r="E555" s="10" t="s">
        <v>200</v>
      </c>
      <c r="F555" s="10" t="s">
        <v>27</v>
      </c>
      <c r="G555" s="10"/>
      <c r="H555" s="10"/>
      <c r="I555" s="10">
        <v>2</v>
      </c>
    </row>
    <row r="556" spans="1:9" x14ac:dyDescent="0.25">
      <c r="A556" s="10">
        <v>5</v>
      </c>
      <c r="B556" s="10" t="s">
        <v>630</v>
      </c>
      <c r="C556" s="10" t="s">
        <v>25</v>
      </c>
      <c r="D556" s="10" t="s">
        <v>631</v>
      </c>
      <c r="E556" s="10" t="s">
        <v>631</v>
      </c>
      <c r="F556" s="10" t="s">
        <v>101</v>
      </c>
      <c r="G556" s="13">
        <v>7.2727799999999998E-5</v>
      </c>
      <c r="H556" s="10"/>
      <c r="I556" s="10">
        <v>4</v>
      </c>
    </row>
    <row r="557" spans="1:9" x14ac:dyDescent="0.25">
      <c r="A557" s="10">
        <v>5</v>
      </c>
      <c r="B557" s="10" t="s">
        <v>863</v>
      </c>
      <c r="C557" s="10" t="s">
        <v>35</v>
      </c>
      <c r="D557" s="10" t="s">
        <v>193</v>
      </c>
      <c r="E557" s="10" t="s">
        <v>193</v>
      </c>
      <c r="F557" s="10" t="s">
        <v>101</v>
      </c>
      <c r="G557" s="10">
        <v>1.4928800000000001E-2</v>
      </c>
      <c r="H557" s="10"/>
      <c r="I557" s="10">
        <v>1</v>
      </c>
    </row>
    <row r="558" spans="1:9" x14ac:dyDescent="0.25">
      <c r="A558" s="9">
        <v>4</v>
      </c>
      <c r="B558" s="9" t="s">
        <v>864</v>
      </c>
      <c r="C558" s="9" t="s">
        <v>70</v>
      </c>
      <c r="D558" s="9" t="s">
        <v>851</v>
      </c>
      <c r="E558" s="9" t="s">
        <v>851</v>
      </c>
      <c r="F558" s="9" t="s">
        <v>101</v>
      </c>
      <c r="G558" s="9">
        <v>4.05253E-2</v>
      </c>
      <c r="H558" s="9" t="s">
        <v>852</v>
      </c>
      <c r="I558" s="9">
        <v>4</v>
      </c>
    </row>
    <row r="559" spans="1:9" x14ac:dyDescent="0.25">
      <c r="A559" s="9">
        <v>4</v>
      </c>
      <c r="B559" s="9" t="s">
        <v>243</v>
      </c>
      <c r="C559" s="9" t="s">
        <v>227</v>
      </c>
      <c r="D559" s="9" t="s">
        <v>244</v>
      </c>
      <c r="E559" s="9" t="s">
        <v>244</v>
      </c>
      <c r="F559" s="9" t="s">
        <v>101</v>
      </c>
      <c r="G559" s="9">
        <v>2.2644399999999999E-2</v>
      </c>
      <c r="H559" s="9" t="s">
        <v>102</v>
      </c>
      <c r="I559" s="9">
        <v>4</v>
      </c>
    </row>
    <row r="560" spans="1:9" x14ac:dyDescent="0.25">
      <c r="A560" s="9">
        <v>4</v>
      </c>
      <c r="B560" s="9" t="s">
        <v>764</v>
      </c>
      <c r="C560" s="9" t="s">
        <v>25</v>
      </c>
      <c r="D560" s="9"/>
      <c r="E560" s="9" t="s">
        <v>9</v>
      </c>
      <c r="F560" s="9" t="s">
        <v>27</v>
      </c>
      <c r="G560" s="9"/>
      <c r="H560" s="9"/>
      <c r="I560" s="9">
        <v>4</v>
      </c>
    </row>
    <row r="561" spans="1:9" x14ac:dyDescent="0.25">
      <c r="A561" s="9">
        <v>4</v>
      </c>
      <c r="B561" s="9" t="s">
        <v>865</v>
      </c>
      <c r="C561" s="9" t="s">
        <v>35</v>
      </c>
      <c r="D561" s="9" t="s">
        <v>866</v>
      </c>
      <c r="E561" s="9" t="s">
        <v>866</v>
      </c>
      <c r="F561" s="9" t="s">
        <v>101</v>
      </c>
      <c r="G561" s="9">
        <v>1.2869E-2</v>
      </c>
      <c r="H561" s="9"/>
      <c r="I561" s="9">
        <v>4</v>
      </c>
    </row>
    <row r="562" spans="1:9" x14ac:dyDescent="0.25">
      <c r="A562" s="9">
        <v>4</v>
      </c>
      <c r="B562" s="9" t="s">
        <v>867</v>
      </c>
      <c r="C562" s="9" t="s">
        <v>17</v>
      </c>
      <c r="D562" s="9" t="s">
        <v>868</v>
      </c>
      <c r="E562" s="9" t="s">
        <v>868</v>
      </c>
      <c r="H562" s="9" t="s">
        <v>218</v>
      </c>
      <c r="I562" s="9">
        <v>5</v>
      </c>
    </row>
    <row r="563" spans="1:9" x14ac:dyDescent="0.25">
      <c r="A563" s="10">
        <v>5</v>
      </c>
      <c r="B563" s="10" t="s">
        <v>869</v>
      </c>
      <c r="C563" s="10" t="s">
        <v>25</v>
      </c>
      <c r="D563" s="10" t="s">
        <v>789</v>
      </c>
      <c r="E563" s="10" t="s">
        <v>870</v>
      </c>
      <c r="F563" s="10" t="s">
        <v>101</v>
      </c>
      <c r="G563" s="10">
        <v>3.0514800000000002E-2</v>
      </c>
      <c r="H563" s="10"/>
      <c r="I563" s="10">
        <v>1</v>
      </c>
    </row>
    <row r="564" spans="1:9" x14ac:dyDescent="0.25">
      <c r="A564" s="10">
        <v>5</v>
      </c>
      <c r="B564" s="10" t="s">
        <v>871</v>
      </c>
      <c r="C564" s="10" t="s">
        <v>35</v>
      </c>
      <c r="D564" s="10" t="s">
        <v>872</v>
      </c>
      <c r="E564" s="10" t="s">
        <v>873</v>
      </c>
      <c r="H564" s="10" t="s">
        <v>218</v>
      </c>
      <c r="I564" s="10">
        <v>1</v>
      </c>
    </row>
    <row r="565" spans="1:9" x14ac:dyDescent="0.25">
      <c r="A565" s="9">
        <v>6</v>
      </c>
      <c r="B565" s="9" t="s">
        <v>874</v>
      </c>
      <c r="C565" s="9" t="s">
        <v>25</v>
      </c>
      <c r="D565" s="9"/>
      <c r="E565" s="9" t="s">
        <v>875</v>
      </c>
      <c r="F565" s="9" t="s">
        <v>876</v>
      </c>
      <c r="G565" s="9">
        <v>3.2533600000000003E-2</v>
      </c>
      <c r="H565" s="9"/>
      <c r="I565" s="9">
        <v>1</v>
      </c>
    </row>
    <row r="566" spans="1:9" x14ac:dyDescent="0.25">
      <c r="A566" s="9">
        <v>6</v>
      </c>
      <c r="B566" s="9" t="s">
        <v>877</v>
      </c>
      <c r="C566" s="9" t="s">
        <v>25</v>
      </c>
      <c r="D566" s="9" t="s">
        <v>789</v>
      </c>
      <c r="E566" s="9" t="s">
        <v>878</v>
      </c>
      <c r="F566" s="9" t="s">
        <v>101</v>
      </c>
      <c r="G566" s="9">
        <v>0.12914700000000001</v>
      </c>
      <c r="H566" s="9"/>
      <c r="I566" s="9">
        <v>1</v>
      </c>
    </row>
    <row r="567" spans="1:9" x14ac:dyDescent="0.25">
      <c r="A567" s="10">
        <v>5</v>
      </c>
      <c r="B567" s="10" t="s">
        <v>879</v>
      </c>
      <c r="C567" s="10" t="s">
        <v>40</v>
      </c>
      <c r="D567" s="10" t="s">
        <v>880</v>
      </c>
      <c r="E567" s="10" t="s">
        <v>880</v>
      </c>
      <c r="F567" s="10"/>
      <c r="G567" s="10">
        <v>1.11947</v>
      </c>
      <c r="H567" s="10" t="s">
        <v>19</v>
      </c>
      <c r="I567" s="10">
        <v>1</v>
      </c>
    </row>
    <row r="568" spans="1:9" x14ac:dyDescent="0.25">
      <c r="A568" s="10">
        <v>5</v>
      </c>
      <c r="B568" s="10" t="s">
        <v>881</v>
      </c>
      <c r="C568" s="10" t="s">
        <v>25</v>
      </c>
      <c r="D568" s="10"/>
      <c r="E568" s="10" t="s">
        <v>882</v>
      </c>
      <c r="F568" s="10" t="s">
        <v>27</v>
      </c>
      <c r="G568" s="10"/>
      <c r="H568" s="10"/>
      <c r="I568" s="10">
        <v>1</v>
      </c>
    </row>
    <row r="569" spans="1:9" x14ac:dyDescent="0.25">
      <c r="A569" s="10">
        <v>5</v>
      </c>
      <c r="B569" s="10" t="s">
        <v>883</v>
      </c>
      <c r="C569" s="10" t="s">
        <v>25</v>
      </c>
      <c r="D569" s="10"/>
      <c r="E569" s="10" t="s">
        <v>884</v>
      </c>
      <c r="F569" s="10" t="s">
        <v>27</v>
      </c>
      <c r="G569" s="10"/>
      <c r="H569" s="10"/>
      <c r="I569" s="10">
        <v>1</v>
      </c>
    </row>
    <row r="570" spans="1:9" x14ac:dyDescent="0.25">
      <c r="A570" s="10">
        <v>5</v>
      </c>
      <c r="B570" s="10" t="s">
        <v>885</v>
      </c>
      <c r="C570" s="10" t="s">
        <v>78</v>
      </c>
      <c r="D570" s="10" t="s">
        <v>886</v>
      </c>
      <c r="E570" s="10" t="s">
        <v>886</v>
      </c>
      <c r="H570" s="10"/>
      <c r="I570" s="10">
        <v>1</v>
      </c>
    </row>
    <row r="571" spans="1:9" x14ac:dyDescent="0.25">
      <c r="A571" s="9">
        <v>6</v>
      </c>
      <c r="B571" s="9" t="s">
        <v>887</v>
      </c>
      <c r="C571" s="9" t="s">
        <v>78</v>
      </c>
      <c r="D571" s="9"/>
      <c r="E571" s="9" t="s">
        <v>888</v>
      </c>
      <c r="F571" s="9" t="s">
        <v>27</v>
      </c>
      <c r="G571" s="9">
        <v>3.0598199999999999E-2</v>
      </c>
      <c r="H571" s="9"/>
      <c r="I571" s="9">
        <v>1</v>
      </c>
    </row>
    <row r="572" spans="1:9" x14ac:dyDescent="0.25">
      <c r="A572" s="9">
        <v>6</v>
      </c>
      <c r="B572" s="9" t="s">
        <v>889</v>
      </c>
      <c r="C572" s="9" t="s">
        <v>25</v>
      </c>
      <c r="D572" s="9"/>
      <c r="E572" s="9" t="s">
        <v>890</v>
      </c>
      <c r="F572" s="9" t="s">
        <v>176</v>
      </c>
      <c r="G572" s="9"/>
      <c r="H572" s="9"/>
      <c r="I572" s="9">
        <v>1</v>
      </c>
    </row>
    <row r="573" spans="1:9" x14ac:dyDescent="0.25">
      <c r="A573" s="10">
        <v>5</v>
      </c>
      <c r="B573" s="10" t="s">
        <v>891</v>
      </c>
      <c r="C573" s="10" t="s">
        <v>78</v>
      </c>
      <c r="D573" s="10" t="s">
        <v>149</v>
      </c>
      <c r="E573" s="10" t="s">
        <v>149</v>
      </c>
      <c r="H573" s="10"/>
      <c r="I573" s="10">
        <v>1</v>
      </c>
    </row>
    <row r="574" spans="1:9" x14ac:dyDescent="0.25">
      <c r="A574" s="9">
        <v>6</v>
      </c>
      <c r="B574" s="9" t="s">
        <v>892</v>
      </c>
      <c r="C574" s="9" t="s">
        <v>78</v>
      </c>
      <c r="D574" s="9"/>
      <c r="E574" s="9" t="s">
        <v>153</v>
      </c>
      <c r="F574" s="9" t="s">
        <v>27</v>
      </c>
      <c r="G574" s="9">
        <v>9.2943599999999998E-3</v>
      </c>
      <c r="H574" s="9"/>
      <c r="I574" s="9">
        <v>1</v>
      </c>
    </row>
    <row r="575" spans="1:9" x14ac:dyDescent="0.25">
      <c r="A575" s="9">
        <v>6</v>
      </c>
      <c r="B575" s="9" t="s">
        <v>893</v>
      </c>
      <c r="C575" s="9" t="s">
        <v>25</v>
      </c>
      <c r="D575" s="9"/>
      <c r="E575" s="9" t="s">
        <v>894</v>
      </c>
      <c r="F575" s="9" t="s">
        <v>176</v>
      </c>
      <c r="G575" s="9"/>
      <c r="H575" s="9"/>
      <c r="I575" s="9">
        <v>2</v>
      </c>
    </row>
    <row r="576" spans="1:9" x14ac:dyDescent="0.25">
      <c r="A576" s="10">
        <v>5</v>
      </c>
      <c r="B576" s="10" t="s">
        <v>895</v>
      </c>
      <c r="C576" s="10" t="s">
        <v>54</v>
      </c>
      <c r="D576" s="10"/>
      <c r="E576" s="10" t="s">
        <v>896</v>
      </c>
      <c r="H576" s="10"/>
      <c r="I576" s="10">
        <v>1</v>
      </c>
    </row>
    <row r="577" spans="1:9" x14ac:dyDescent="0.25">
      <c r="A577" s="9">
        <v>6</v>
      </c>
      <c r="B577" s="9" t="s">
        <v>897</v>
      </c>
      <c r="C577" s="9" t="s">
        <v>54</v>
      </c>
      <c r="D577" s="9"/>
      <c r="E577" s="9" t="s">
        <v>898</v>
      </c>
      <c r="F577" s="9"/>
      <c r="G577" s="9">
        <v>0</v>
      </c>
      <c r="H577" s="9"/>
      <c r="I577" s="9">
        <v>1</v>
      </c>
    </row>
    <row r="578" spans="1:9" x14ac:dyDescent="0.25">
      <c r="A578" s="9">
        <v>6</v>
      </c>
      <c r="B578" s="9" t="s">
        <v>899</v>
      </c>
      <c r="C578" s="9" t="s">
        <v>54</v>
      </c>
      <c r="D578" s="9"/>
      <c r="E578" s="9" t="s">
        <v>900</v>
      </c>
      <c r="F578" s="9"/>
      <c r="G578" s="9">
        <v>0</v>
      </c>
      <c r="H578" s="9"/>
      <c r="I578" s="9">
        <v>1</v>
      </c>
    </row>
    <row r="579" spans="1:9" x14ac:dyDescent="0.25">
      <c r="A579" s="9">
        <v>6</v>
      </c>
      <c r="B579" s="9" t="s">
        <v>901</v>
      </c>
      <c r="C579" s="9" t="s">
        <v>54</v>
      </c>
      <c r="D579" s="9"/>
      <c r="E579" s="9" t="s">
        <v>880</v>
      </c>
      <c r="F579" s="9"/>
      <c r="G579" s="9">
        <v>0</v>
      </c>
      <c r="H579" s="9"/>
      <c r="I579" s="9">
        <v>2</v>
      </c>
    </row>
    <row r="580" spans="1:9" x14ac:dyDescent="0.25">
      <c r="A580" s="10">
        <v>5</v>
      </c>
      <c r="B580" s="10" t="s">
        <v>902</v>
      </c>
      <c r="C580" s="10" t="s">
        <v>35</v>
      </c>
      <c r="D580" s="10" t="s">
        <v>903</v>
      </c>
      <c r="E580" s="10" t="s">
        <v>873</v>
      </c>
      <c r="H580" s="10" t="s">
        <v>218</v>
      </c>
      <c r="I580" s="10">
        <v>1</v>
      </c>
    </row>
    <row r="581" spans="1:9" x14ac:dyDescent="0.25">
      <c r="A581" s="9">
        <v>6</v>
      </c>
      <c r="B581" s="9" t="s">
        <v>904</v>
      </c>
      <c r="C581" s="9" t="s">
        <v>25</v>
      </c>
      <c r="D581" s="9" t="s">
        <v>789</v>
      </c>
      <c r="E581" s="9" t="s">
        <v>905</v>
      </c>
      <c r="F581" s="9" t="s">
        <v>101</v>
      </c>
      <c r="G581" s="9">
        <v>3.8288200000000001E-2</v>
      </c>
      <c r="H581" s="9"/>
      <c r="I581" s="9">
        <v>1</v>
      </c>
    </row>
    <row r="582" spans="1:9" x14ac:dyDescent="0.25">
      <c r="A582" s="9">
        <v>6</v>
      </c>
      <c r="B582" s="9" t="s">
        <v>906</v>
      </c>
      <c r="C582" s="9" t="s">
        <v>25</v>
      </c>
      <c r="D582" s="9"/>
      <c r="E582" s="9" t="s">
        <v>907</v>
      </c>
      <c r="F582" s="9" t="s">
        <v>876</v>
      </c>
      <c r="G582" s="9">
        <v>3.9122499999999998E-2</v>
      </c>
      <c r="H582" s="9"/>
      <c r="I582" s="9">
        <v>1</v>
      </c>
    </row>
    <row r="583" spans="1:9" x14ac:dyDescent="0.25">
      <c r="A583" s="9">
        <v>6</v>
      </c>
      <c r="B583" s="9" t="s">
        <v>908</v>
      </c>
      <c r="C583" s="9" t="s">
        <v>25</v>
      </c>
      <c r="D583" s="9" t="s">
        <v>789</v>
      </c>
      <c r="E583" s="9" t="s">
        <v>909</v>
      </c>
      <c r="F583" s="9" t="s">
        <v>101</v>
      </c>
      <c r="G583" s="9">
        <v>2.3858299999999999E-2</v>
      </c>
      <c r="H583" s="9"/>
      <c r="I583" s="9">
        <v>1</v>
      </c>
    </row>
    <row r="584" spans="1:9" x14ac:dyDescent="0.25">
      <c r="A584" s="10">
        <v>5</v>
      </c>
      <c r="B584" s="10" t="s">
        <v>910</v>
      </c>
      <c r="C584" s="10" t="s">
        <v>25</v>
      </c>
      <c r="D584" s="10" t="s">
        <v>789</v>
      </c>
      <c r="E584" s="10" t="s">
        <v>911</v>
      </c>
      <c r="F584" s="10" t="s">
        <v>101</v>
      </c>
      <c r="G584" s="10">
        <v>9.0527400000000001E-3</v>
      </c>
      <c r="H584" s="10"/>
      <c r="I584" s="10">
        <v>1</v>
      </c>
    </row>
    <row r="585" spans="1:9" x14ac:dyDescent="0.25">
      <c r="A585" s="10">
        <v>5</v>
      </c>
      <c r="B585" s="10" t="s">
        <v>788</v>
      </c>
      <c r="C585" s="10" t="s">
        <v>25</v>
      </c>
      <c r="D585" s="10" t="s">
        <v>789</v>
      </c>
      <c r="E585" s="10" t="s">
        <v>790</v>
      </c>
      <c r="F585" s="10" t="s">
        <v>101</v>
      </c>
      <c r="G585" s="10">
        <v>9.3418799999999996E-2</v>
      </c>
      <c r="H585" s="10"/>
      <c r="I585" s="10">
        <v>1</v>
      </c>
    </row>
    <row r="586" spans="1:9" ht="165" x14ac:dyDescent="0.25">
      <c r="A586" s="10">
        <v>5</v>
      </c>
      <c r="B586" s="10" t="s">
        <v>856</v>
      </c>
      <c r="C586" s="10" t="s">
        <v>25</v>
      </c>
      <c r="D586" s="12" t="s">
        <v>857</v>
      </c>
      <c r="E586" s="10" t="s">
        <v>111</v>
      </c>
      <c r="F586" s="10" t="s">
        <v>101</v>
      </c>
      <c r="G586" s="10">
        <v>4.4286499999999999E-2</v>
      </c>
      <c r="H586" s="10"/>
      <c r="I586" s="10">
        <v>1</v>
      </c>
    </row>
    <row r="587" spans="1:9" ht="165" x14ac:dyDescent="0.25">
      <c r="A587" s="10">
        <v>5</v>
      </c>
      <c r="B587" s="10" t="s">
        <v>794</v>
      </c>
      <c r="C587" s="10" t="s">
        <v>25</v>
      </c>
      <c r="D587" s="12" t="s">
        <v>795</v>
      </c>
      <c r="E587" s="10" t="s">
        <v>793</v>
      </c>
      <c r="F587" s="10" t="s">
        <v>101</v>
      </c>
      <c r="G587" s="10">
        <v>2.9291600000000001E-2</v>
      </c>
      <c r="H587" s="10"/>
      <c r="I587" s="10">
        <v>1</v>
      </c>
    </row>
    <row r="588" spans="1:9" x14ac:dyDescent="0.25">
      <c r="A588" s="10">
        <v>5</v>
      </c>
      <c r="B588" s="10" t="s">
        <v>912</v>
      </c>
      <c r="C588" s="10" t="s">
        <v>54</v>
      </c>
      <c r="D588" s="10" t="s">
        <v>913</v>
      </c>
      <c r="E588" s="10" t="s">
        <v>914</v>
      </c>
      <c r="F588" s="10"/>
      <c r="G588" s="10">
        <v>0</v>
      </c>
      <c r="H588" s="10"/>
      <c r="I588" s="10">
        <v>1</v>
      </c>
    </row>
    <row r="589" spans="1:9" x14ac:dyDescent="0.25">
      <c r="A589" s="10">
        <v>5</v>
      </c>
      <c r="B589" s="10" t="s">
        <v>915</v>
      </c>
      <c r="C589" s="10" t="s">
        <v>25</v>
      </c>
      <c r="D589" s="10"/>
      <c r="E589" s="10" t="s">
        <v>916</v>
      </c>
      <c r="F589" s="10" t="s">
        <v>27</v>
      </c>
      <c r="G589" s="10"/>
      <c r="H589" s="10"/>
      <c r="I589" s="10">
        <v>2</v>
      </c>
    </row>
    <row r="590" spans="1:9" x14ac:dyDescent="0.25">
      <c r="A590" s="10">
        <v>5</v>
      </c>
      <c r="B590" s="10" t="s">
        <v>253</v>
      </c>
      <c r="C590" s="10" t="s">
        <v>25</v>
      </c>
      <c r="D590" s="10" t="s">
        <v>254</v>
      </c>
      <c r="E590" s="10" t="s">
        <v>254</v>
      </c>
      <c r="F590" s="10" t="s">
        <v>27</v>
      </c>
      <c r="G590" s="10"/>
      <c r="H590" s="10"/>
      <c r="I590" s="10">
        <v>8</v>
      </c>
    </row>
    <row r="591" spans="1:9" x14ac:dyDescent="0.25">
      <c r="A591" s="10">
        <v>5</v>
      </c>
      <c r="B591" s="10" t="s">
        <v>796</v>
      </c>
      <c r="C591" s="10" t="s">
        <v>25</v>
      </c>
      <c r="D591" s="10"/>
      <c r="E591" s="10" t="s">
        <v>5</v>
      </c>
      <c r="F591" s="10" t="s">
        <v>27</v>
      </c>
      <c r="G591" s="10"/>
      <c r="H591" s="10"/>
      <c r="I591" s="10">
        <v>8</v>
      </c>
    </row>
    <row r="592" spans="1:9" ht="409.5" x14ac:dyDescent="0.25">
      <c r="A592" s="9">
        <v>4</v>
      </c>
      <c r="B592" s="9" t="s">
        <v>251</v>
      </c>
      <c r="C592" s="9" t="s">
        <v>78</v>
      </c>
      <c r="D592" s="11" t="s">
        <v>252</v>
      </c>
      <c r="E592" s="9" t="s">
        <v>111</v>
      </c>
      <c r="F592" s="9" t="s">
        <v>101</v>
      </c>
      <c r="G592" s="9">
        <v>4.8415899999999998E-3</v>
      </c>
      <c r="H592" s="9" t="s">
        <v>150</v>
      </c>
      <c r="I592" s="9">
        <v>5</v>
      </c>
    </row>
    <row r="593" spans="1:9" x14ac:dyDescent="0.25">
      <c r="A593" s="9">
        <v>4</v>
      </c>
      <c r="B593" s="9" t="s">
        <v>917</v>
      </c>
      <c r="C593" s="9" t="s">
        <v>25</v>
      </c>
      <c r="D593" s="9"/>
      <c r="E593" s="9" t="s">
        <v>671</v>
      </c>
      <c r="F593" s="9" t="s">
        <v>27</v>
      </c>
      <c r="G593" s="9"/>
      <c r="H593" s="9"/>
      <c r="I593" s="9">
        <v>6</v>
      </c>
    </row>
    <row r="594" spans="1:9" x14ac:dyDescent="0.25">
      <c r="A594" s="9">
        <v>4</v>
      </c>
      <c r="B594" s="9" t="s">
        <v>10</v>
      </c>
      <c r="C594" s="9" t="s">
        <v>25</v>
      </c>
      <c r="D594" s="9"/>
      <c r="E594" s="9" t="s">
        <v>9</v>
      </c>
      <c r="F594" s="9" t="s">
        <v>27</v>
      </c>
      <c r="G594" s="9"/>
      <c r="H594" s="9"/>
      <c r="I594" s="9">
        <v>12</v>
      </c>
    </row>
    <row r="595" spans="1:9" x14ac:dyDescent="0.25">
      <c r="A595" s="9">
        <v>4</v>
      </c>
      <c r="B595" s="9" t="s">
        <v>918</v>
      </c>
      <c r="C595" s="9" t="s">
        <v>78</v>
      </c>
      <c r="D595" s="9" t="s">
        <v>193</v>
      </c>
      <c r="E595" s="9" t="s">
        <v>919</v>
      </c>
      <c r="F595" s="9" t="s">
        <v>101</v>
      </c>
      <c r="G595" s="9">
        <v>1.5155099999999999E-2</v>
      </c>
      <c r="H595" s="9"/>
      <c r="I595" s="9">
        <v>25</v>
      </c>
    </row>
    <row r="596" spans="1:9" x14ac:dyDescent="0.25">
      <c r="A596" s="9">
        <v>4</v>
      </c>
      <c r="B596" s="9" t="s">
        <v>253</v>
      </c>
      <c r="C596" s="9" t="s">
        <v>25</v>
      </c>
      <c r="D596" s="9" t="s">
        <v>254</v>
      </c>
      <c r="E596" s="9" t="s">
        <v>254</v>
      </c>
      <c r="F596" s="9" t="s">
        <v>27</v>
      </c>
      <c r="G596" s="9"/>
      <c r="H596" s="9"/>
      <c r="I596" s="9">
        <v>44</v>
      </c>
    </row>
    <row r="597" spans="1:9" x14ac:dyDescent="0.25">
      <c r="A597" s="9">
        <v>4</v>
      </c>
      <c r="B597" s="9" t="s">
        <v>4</v>
      </c>
      <c r="C597" s="9" t="s">
        <v>25</v>
      </c>
      <c r="D597" s="9"/>
      <c r="E597" s="9" t="s">
        <v>5</v>
      </c>
      <c r="F597" s="9" t="s">
        <v>27</v>
      </c>
      <c r="G597" s="9"/>
      <c r="H597" s="9"/>
      <c r="I597" s="9">
        <v>44</v>
      </c>
    </row>
    <row r="598" spans="1:9" x14ac:dyDescent="0.25">
      <c r="A598" s="9">
        <v>4</v>
      </c>
      <c r="B598" s="9" t="s">
        <v>920</v>
      </c>
      <c r="C598" s="9" t="s">
        <v>921</v>
      </c>
      <c r="D598" s="9" t="s">
        <v>244</v>
      </c>
      <c r="E598" s="9" t="s">
        <v>244</v>
      </c>
      <c r="F598" s="9" t="s">
        <v>101</v>
      </c>
      <c r="G598" s="9">
        <v>1.59328E-2</v>
      </c>
      <c r="H598" s="9" t="s">
        <v>102</v>
      </c>
      <c r="I598" s="9">
        <v>49</v>
      </c>
    </row>
    <row r="599" spans="1:9" x14ac:dyDescent="0.25">
      <c r="A599" s="9">
        <v>4</v>
      </c>
      <c r="B599" s="9" t="s">
        <v>259</v>
      </c>
      <c r="C599" s="9" t="s">
        <v>35</v>
      </c>
      <c r="D599" s="9"/>
      <c r="E599" s="9" t="s">
        <v>260</v>
      </c>
      <c r="F599" s="9" t="s">
        <v>27</v>
      </c>
      <c r="G599" s="9">
        <v>3.5726600000000002E-4</v>
      </c>
      <c r="H599" s="9"/>
      <c r="I599" s="9">
        <v>154</v>
      </c>
    </row>
    <row r="600" spans="1:9" x14ac:dyDescent="0.25">
      <c r="A600" s="9">
        <v>4</v>
      </c>
      <c r="B600" s="9" t="s">
        <v>6</v>
      </c>
      <c r="C600" s="9" t="s">
        <v>35</v>
      </c>
      <c r="D600" s="9"/>
      <c r="E600" s="9" t="s">
        <v>7</v>
      </c>
      <c r="F600" s="9" t="s">
        <v>27</v>
      </c>
      <c r="G600" s="9"/>
      <c r="H600" s="9"/>
      <c r="I600" s="9">
        <v>154</v>
      </c>
    </row>
    <row r="601" spans="1:9" x14ac:dyDescent="0.25">
      <c r="A601" s="10">
        <v>3</v>
      </c>
      <c r="B601" s="10" t="s">
        <v>922</v>
      </c>
      <c r="C601" s="10" t="s">
        <v>780</v>
      </c>
      <c r="D601" s="10" t="s">
        <v>923</v>
      </c>
      <c r="E601" s="10" t="s">
        <v>923</v>
      </c>
      <c r="H601" s="10" t="s">
        <v>218</v>
      </c>
      <c r="I601" s="10">
        <v>1</v>
      </c>
    </row>
    <row r="602" spans="1:9" x14ac:dyDescent="0.25">
      <c r="A602" s="9">
        <v>4</v>
      </c>
      <c r="B602" s="9" t="s">
        <v>924</v>
      </c>
      <c r="C602" s="9" t="s">
        <v>17</v>
      </c>
      <c r="D602" s="9" t="s">
        <v>558</v>
      </c>
      <c r="E602" s="9" t="s">
        <v>558</v>
      </c>
      <c r="H602" s="9" t="s">
        <v>102</v>
      </c>
      <c r="I602" s="9">
        <v>1</v>
      </c>
    </row>
    <row r="603" spans="1:9" x14ac:dyDescent="0.25">
      <c r="A603" s="10">
        <v>5</v>
      </c>
      <c r="B603" s="10" t="s">
        <v>925</v>
      </c>
      <c r="C603" s="10" t="s">
        <v>17</v>
      </c>
      <c r="D603" s="10" t="s">
        <v>198</v>
      </c>
      <c r="E603" s="10" t="s">
        <v>198</v>
      </c>
      <c r="F603" s="10" t="s">
        <v>101</v>
      </c>
      <c r="G603" s="10">
        <v>1.0405299999999999E-2</v>
      </c>
      <c r="H603" s="10" t="s">
        <v>102</v>
      </c>
      <c r="I603" s="10">
        <v>1</v>
      </c>
    </row>
    <row r="604" spans="1:9" x14ac:dyDescent="0.25">
      <c r="A604" s="10">
        <v>5</v>
      </c>
      <c r="B604" s="10" t="s">
        <v>926</v>
      </c>
      <c r="C604" s="10" t="s">
        <v>17</v>
      </c>
      <c r="D604" s="10" t="s">
        <v>927</v>
      </c>
      <c r="E604" s="10" t="s">
        <v>927</v>
      </c>
      <c r="F604" s="10" t="s">
        <v>928</v>
      </c>
      <c r="G604" s="10">
        <v>5.5874099999999997E-4</v>
      </c>
      <c r="H604" s="10" t="s">
        <v>102</v>
      </c>
      <c r="I604" s="10">
        <v>1</v>
      </c>
    </row>
    <row r="605" spans="1:9" x14ac:dyDescent="0.25">
      <c r="A605" s="9">
        <v>4</v>
      </c>
      <c r="B605" s="9" t="s">
        <v>929</v>
      </c>
      <c r="C605" s="9" t="s">
        <v>17</v>
      </c>
      <c r="D605" s="9" t="s">
        <v>198</v>
      </c>
      <c r="E605" s="9" t="s">
        <v>198</v>
      </c>
      <c r="F605" s="9" t="s">
        <v>101</v>
      </c>
      <c r="G605" s="9">
        <v>5.7567100000000003E-2</v>
      </c>
      <c r="H605" s="9" t="s">
        <v>102</v>
      </c>
      <c r="I605" s="9">
        <v>1</v>
      </c>
    </row>
    <row r="606" spans="1:9" x14ac:dyDescent="0.25">
      <c r="A606" s="9">
        <v>4</v>
      </c>
      <c r="B606" s="9" t="s">
        <v>930</v>
      </c>
      <c r="C606" s="9" t="s">
        <v>931</v>
      </c>
      <c r="D606" s="9" t="s">
        <v>932</v>
      </c>
      <c r="E606" s="9" t="s">
        <v>932</v>
      </c>
      <c r="F606" s="9" t="s">
        <v>292</v>
      </c>
      <c r="G606" s="9">
        <v>8.6367899999999997E-2</v>
      </c>
      <c r="H606" s="9" t="s">
        <v>218</v>
      </c>
      <c r="I606" s="9">
        <v>1</v>
      </c>
    </row>
    <row r="607" spans="1:9" x14ac:dyDescent="0.25">
      <c r="A607" s="9">
        <v>4</v>
      </c>
      <c r="B607" s="9" t="s">
        <v>261</v>
      </c>
      <c r="C607" s="9" t="s">
        <v>25</v>
      </c>
      <c r="D607" s="9"/>
      <c r="E607" s="9" t="s">
        <v>9</v>
      </c>
      <c r="F607" s="9" t="s">
        <v>27</v>
      </c>
      <c r="G607" s="9"/>
      <c r="H607" s="9"/>
      <c r="I607" s="9">
        <v>2</v>
      </c>
    </row>
    <row r="608" spans="1:9" x14ac:dyDescent="0.25">
      <c r="A608" s="9">
        <v>4</v>
      </c>
      <c r="B608" s="9" t="s">
        <v>933</v>
      </c>
      <c r="C608" s="9" t="s">
        <v>25</v>
      </c>
      <c r="D608" s="9" t="s">
        <v>934</v>
      </c>
      <c r="E608" s="9" t="s">
        <v>934</v>
      </c>
      <c r="H608" s="9"/>
      <c r="I608" s="9">
        <v>2</v>
      </c>
    </row>
    <row r="609" spans="1:9" x14ac:dyDescent="0.25">
      <c r="A609" s="10">
        <v>5</v>
      </c>
      <c r="B609" s="10" t="s">
        <v>935</v>
      </c>
      <c r="C609" s="10" t="s">
        <v>25</v>
      </c>
      <c r="D609" s="10" t="s">
        <v>936</v>
      </c>
      <c r="E609" s="10" t="s">
        <v>936</v>
      </c>
      <c r="F609" s="10"/>
      <c r="G609" s="10">
        <v>0</v>
      </c>
      <c r="H609" s="10"/>
      <c r="I609" s="10">
        <v>1</v>
      </c>
    </row>
    <row r="610" spans="1:9" x14ac:dyDescent="0.25">
      <c r="A610" s="10">
        <v>5</v>
      </c>
      <c r="B610" s="10" t="s">
        <v>937</v>
      </c>
      <c r="C610" s="10" t="s">
        <v>25</v>
      </c>
      <c r="D610" s="10" t="s">
        <v>938</v>
      </c>
      <c r="E610" s="10" t="s">
        <v>938</v>
      </c>
      <c r="F610" s="10"/>
      <c r="G610" s="10">
        <v>0</v>
      </c>
      <c r="H610" s="10"/>
      <c r="I610" s="10">
        <v>1</v>
      </c>
    </row>
    <row r="611" spans="1:9" x14ac:dyDescent="0.25">
      <c r="A611" s="10">
        <v>5</v>
      </c>
      <c r="B611" s="10" t="s">
        <v>939</v>
      </c>
      <c r="C611" s="10" t="s">
        <v>25</v>
      </c>
      <c r="D611" s="10" t="s">
        <v>940</v>
      </c>
      <c r="E611" s="10" t="s">
        <v>940</v>
      </c>
      <c r="F611" s="10"/>
      <c r="G611" s="10">
        <v>0</v>
      </c>
      <c r="H611" s="10"/>
      <c r="I611" s="10">
        <v>1</v>
      </c>
    </row>
    <row r="612" spans="1:9" x14ac:dyDescent="0.25">
      <c r="A612" s="9">
        <v>4</v>
      </c>
      <c r="B612" s="9" t="s">
        <v>941</v>
      </c>
      <c r="C612" s="9" t="s">
        <v>931</v>
      </c>
      <c r="D612" s="9" t="s">
        <v>239</v>
      </c>
      <c r="E612" s="9" t="s">
        <v>239</v>
      </c>
      <c r="F612" s="9" t="s">
        <v>942</v>
      </c>
      <c r="G612" s="9">
        <v>4.9681600000000001E-3</v>
      </c>
      <c r="H612" s="9" t="s">
        <v>218</v>
      </c>
      <c r="I612" s="9">
        <v>2</v>
      </c>
    </row>
    <row r="613" spans="1:9" x14ac:dyDescent="0.25">
      <c r="A613" s="9">
        <v>4</v>
      </c>
      <c r="B613" s="9" t="s">
        <v>756</v>
      </c>
      <c r="C613" s="9" t="s">
        <v>485</v>
      </c>
      <c r="D613" s="9"/>
      <c r="E613" s="9" t="s">
        <v>757</v>
      </c>
      <c r="H613" s="9" t="s">
        <v>218</v>
      </c>
      <c r="I613" s="9">
        <v>2</v>
      </c>
    </row>
    <row r="614" spans="1:9" x14ac:dyDescent="0.25">
      <c r="A614" s="10">
        <v>5</v>
      </c>
      <c r="B614" s="10" t="s">
        <v>760</v>
      </c>
      <c r="C614" s="10" t="s">
        <v>485</v>
      </c>
      <c r="D614" s="10"/>
      <c r="E614" s="10" t="s">
        <v>309</v>
      </c>
      <c r="F614" s="10" t="s">
        <v>101</v>
      </c>
      <c r="G614" s="10">
        <v>4.9734100000000002E-3</v>
      </c>
      <c r="H614" s="10" t="s">
        <v>150</v>
      </c>
      <c r="I614" s="10">
        <v>1</v>
      </c>
    </row>
    <row r="615" spans="1:9" x14ac:dyDescent="0.25">
      <c r="A615" s="10">
        <v>5</v>
      </c>
      <c r="B615" s="10" t="s">
        <v>758</v>
      </c>
      <c r="C615" s="10" t="s">
        <v>485</v>
      </c>
      <c r="D615" s="10"/>
      <c r="E615" s="10" t="s">
        <v>759</v>
      </c>
      <c r="F615" s="10" t="s">
        <v>594</v>
      </c>
      <c r="G615" s="13">
        <v>9.22966E-5</v>
      </c>
      <c r="H615" s="10" t="s">
        <v>165</v>
      </c>
      <c r="I615" s="10">
        <v>1</v>
      </c>
    </row>
    <row r="616" spans="1:9" x14ac:dyDescent="0.25">
      <c r="A616" s="9">
        <v>4</v>
      </c>
      <c r="B616" s="9" t="s">
        <v>643</v>
      </c>
      <c r="C616" s="9" t="s">
        <v>25</v>
      </c>
      <c r="D616" s="9" t="s">
        <v>644</v>
      </c>
      <c r="E616" s="9" t="s">
        <v>645</v>
      </c>
      <c r="F616" s="9" t="s">
        <v>176</v>
      </c>
      <c r="G616" s="9">
        <v>6.4565899999999996E-2</v>
      </c>
      <c r="H616" s="9"/>
      <c r="I616" s="9">
        <v>2</v>
      </c>
    </row>
    <row r="617" spans="1:9" x14ac:dyDescent="0.25">
      <c r="A617" s="9">
        <v>4</v>
      </c>
      <c r="B617" s="9" t="s">
        <v>646</v>
      </c>
      <c r="C617" s="9" t="s">
        <v>25</v>
      </c>
      <c r="D617" s="9" t="s">
        <v>647</v>
      </c>
      <c r="E617" s="9" t="s">
        <v>647</v>
      </c>
      <c r="F617" s="9"/>
      <c r="G617" s="9">
        <v>0</v>
      </c>
      <c r="H617" s="9"/>
      <c r="I617" s="9">
        <v>2</v>
      </c>
    </row>
    <row r="618" spans="1:9" x14ac:dyDescent="0.25">
      <c r="A618" s="9">
        <v>4</v>
      </c>
      <c r="B618" s="9" t="s">
        <v>943</v>
      </c>
      <c r="C618" s="9" t="s">
        <v>931</v>
      </c>
      <c r="D618" s="9" t="s">
        <v>932</v>
      </c>
      <c r="E618" s="9" t="s">
        <v>932</v>
      </c>
      <c r="F618" s="9" t="s">
        <v>486</v>
      </c>
      <c r="G618" s="9">
        <v>2.72155E-4</v>
      </c>
      <c r="H618" s="9" t="s">
        <v>218</v>
      </c>
      <c r="I618" s="9">
        <v>2</v>
      </c>
    </row>
    <row r="619" spans="1:9" x14ac:dyDescent="0.25">
      <c r="A619" s="9">
        <v>4</v>
      </c>
      <c r="B619" s="9" t="s">
        <v>944</v>
      </c>
      <c r="C619" s="9" t="s">
        <v>25</v>
      </c>
      <c r="D619" s="9"/>
      <c r="E619" s="9" t="s">
        <v>178</v>
      </c>
      <c r="F619" s="9" t="s">
        <v>27</v>
      </c>
      <c r="G619" s="9"/>
      <c r="H619" s="9"/>
      <c r="I619" s="9">
        <v>4</v>
      </c>
    </row>
    <row r="620" spans="1:9" x14ac:dyDescent="0.25">
      <c r="A620" s="9">
        <v>4</v>
      </c>
      <c r="B620" s="9" t="s">
        <v>10</v>
      </c>
      <c r="C620" s="9" t="s">
        <v>25</v>
      </c>
      <c r="D620" s="9"/>
      <c r="E620" s="9" t="s">
        <v>9</v>
      </c>
      <c r="F620" s="9" t="s">
        <v>27</v>
      </c>
      <c r="G620" s="9"/>
      <c r="H620" s="9"/>
      <c r="I620" s="9">
        <v>4</v>
      </c>
    </row>
    <row r="621" spans="1:9" x14ac:dyDescent="0.25">
      <c r="A621" s="9">
        <v>4</v>
      </c>
      <c r="B621" s="9" t="s">
        <v>945</v>
      </c>
      <c r="C621" s="9" t="s">
        <v>25</v>
      </c>
      <c r="D621" s="9"/>
      <c r="E621" s="9" t="s">
        <v>9</v>
      </c>
      <c r="F621" s="9" t="s">
        <v>27</v>
      </c>
      <c r="G621" s="9"/>
      <c r="H621" s="9"/>
      <c r="I621" s="9">
        <v>4</v>
      </c>
    </row>
    <row r="622" spans="1:9" x14ac:dyDescent="0.25">
      <c r="A622" s="9">
        <v>4</v>
      </c>
      <c r="B622" s="9" t="s">
        <v>946</v>
      </c>
      <c r="C622" s="9" t="s">
        <v>25</v>
      </c>
      <c r="D622" s="9"/>
      <c r="E622" s="9" t="s">
        <v>947</v>
      </c>
      <c r="F622" s="9" t="s">
        <v>335</v>
      </c>
      <c r="G622" s="9"/>
      <c r="H622" s="9"/>
      <c r="I622" s="9">
        <v>4</v>
      </c>
    </row>
    <row r="623" spans="1:9" x14ac:dyDescent="0.25">
      <c r="A623" s="9">
        <v>4</v>
      </c>
      <c r="B623" s="9" t="s">
        <v>8</v>
      </c>
      <c r="C623" s="9" t="s">
        <v>25</v>
      </c>
      <c r="D623" s="9"/>
      <c r="E623" s="9" t="s">
        <v>9</v>
      </c>
      <c r="F623" s="9" t="s">
        <v>27</v>
      </c>
      <c r="G623" s="9"/>
      <c r="H623" s="9"/>
      <c r="I623" s="9">
        <v>4</v>
      </c>
    </row>
    <row r="624" spans="1:9" x14ac:dyDescent="0.25">
      <c r="A624" s="9">
        <v>4</v>
      </c>
      <c r="B624" s="9" t="s">
        <v>948</v>
      </c>
      <c r="C624" s="9" t="s">
        <v>25</v>
      </c>
      <c r="D624" s="9"/>
      <c r="E624" s="9" t="s">
        <v>949</v>
      </c>
      <c r="F624" s="9" t="s">
        <v>27</v>
      </c>
      <c r="G624" s="9"/>
      <c r="H624" s="9"/>
      <c r="I624" s="9">
        <v>8</v>
      </c>
    </row>
    <row r="625" spans="1:9" x14ac:dyDescent="0.25">
      <c r="A625" s="9">
        <v>4</v>
      </c>
      <c r="B625" s="9" t="s">
        <v>950</v>
      </c>
      <c r="C625" s="9" t="s">
        <v>25</v>
      </c>
      <c r="D625" s="9"/>
      <c r="E625" s="9" t="s">
        <v>260</v>
      </c>
      <c r="F625" s="9" t="s">
        <v>27</v>
      </c>
      <c r="G625" s="9"/>
      <c r="H625" s="9"/>
      <c r="I625" s="9">
        <v>8</v>
      </c>
    </row>
    <row r="626" spans="1:9" x14ac:dyDescent="0.25">
      <c r="A626" s="10">
        <v>3</v>
      </c>
      <c r="B626" s="10" t="s">
        <v>951</v>
      </c>
      <c r="C626" s="10" t="s">
        <v>78</v>
      </c>
      <c r="D626" s="10" t="s">
        <v>952</v>
      </c>
      <c r="E626" s="10" t="s">
        <v>952</v>
      </c>
      <c r="H626" s="10"/>
      <c r="I626" s="10">
        <v>2</v>
      </c>
    </row>
    <row r="627" spans="1:9" x14ac:dyDescent="0.25">
      <c r="A627" s="9">
        <v>4</v>
      </c>
      <c r="B627" s="9" t="s">
        <v>719</v>
      </c>
      <c r="C627" s="9" t="s">
        <v>25</v>
      </c>
      <c r="D627" s="9" t="s">
        <v>332</v>
      </c>
      <c r="E627" s="9" t="s">
        <v>332</v>
      </c>
      <c r="H627" s="9"/>
      <c r="I627" s="9">
        <v>2</v>
      </c>
    </row>
    <row r="628" spans="1:9" x14ac:dyDescent="0.25">
      <c r="A628" s="10">
        <v>5</v>
      </c>
      <c r="B628" s="10" t="s">
        <v>720</v>
      </c>
      <c r="C628" s="10" t="s">
        <v>25</v>
      </c>
      <c r="D628" s="10" t="s">
        <v>334</v>
      </c>
      <c r="E628" s="10" t="s">
        <v>334</v>
      </c>
      <c r="F628" s="10" t="s">
        <v>335</v>
      </c>
      <c r="G628" s="10">
        <v>0.45253199999999999</v>
      </c>
      <c r="H628" s="10"/>
      <c r="I628" s="10">
        <v>1</v>
      </c>
    </row>
    <row r="629" spans="1:9" x14ac:dyDescent="0.25">
      <c r="A629" s="10">
        <v>5</v>
      </c>
      <c r="B629" s="10" t="s">
        <v>721</v>
      </c>
      <c r="C629" s="10" t="s">
        <v>25</v>
      </c>
      <c r="D629" s="10" t="s">
        <v>337</v>
      </c>
      <c r="E629" s="10" t="s">
        <v>337</v>
      </c>
      <c r="F629" s="10" t="s">
        <v>335</v>
      </c>
      <c r="G629" s="10">
        <v>0.42641299999999999</v>
      </c>
      <c r="H629" s="10"/>
      <c r="I629" s="10">
        <v>1</v>
      </c>
    </row>
    <row r="630" spans="1:9" x14ac:dyDescent="0.25">
      <c r="A630" s="10">
        <v>5</v>
      </c>
      <c r="B630" s="10" t="s">
        <v>722</v>
      </c>
      <c r="C630" s="10" t="s">
        <v>25</v>
      </c>
      <c r="D630" s="10" t="s">
        <v>339</v>
      </c>
      <c r="E630" s="10" t="s">
        <v>339</v>
      </c>
      <c r="F630" s="10" t="s">
        <v>335</v>
      </c>
      <c r="G630" s="10">
        <v>0.85629699999999997</v>
      </c>
      <c r="H630" s="10"/>
      <c r="I630" s="10">
        <v>1</v>
      </c>
    </row>
    <row r="631" spans="1:9" x14ac:dyDescent="0.25">
      <c r="A631" s="10">
        <v>5</v>
      </c>
      <c r="B631" s="10" t="s">
        <v>723</v>
      </c>
      <c r="C631" s="10" t="s">
        <v>25</v>
      </c>
      <c r="D631" s="10" t="s">
        <v>341</v>
      </c>
      <c r="E631" s="10" t="s">
        <v>342</v>
      </c>
      <c r="F631" s="10" t="s">
        <v>335</v>
      </c>
      <c r="G631" s="10">
        <v>0.1633</v>
      </c>
      <c r="H631" s="10"/>
      <c r="I631" s="10">
        <v>1</v>
      </c>
    </row>
    <row r="632" spans="1:9" x14ac:dyDescent="0.25">
      <c r="A632" s="9">
        <v>4</v>
      </c>
      <c r="B632" s="9" t="s">
        <v>8</v>
      </c>
      <c r="C632" s="9" t="s">
        <v>25</v>
      </c>
      <c r="D632" s="9"/>
      <c r="E632" s="9" t="s">
        <v>9</v>
      </c>
      <c r="F632" s="9" t="s">
        <v>27</v>
      </c>
      <c r="G632" s="9"/>
      <c r="H632" s="9"/>
      <c r="I632" s="9">
        <v>12</v>
      </c>
    </row>
    <row r="633" spans="1:9" x14ac:dyDescent="0.25">
      <c r="A633" s="9">
        <v>4</v>
      </c>
      <c r="B633" s="9" t="s">
        <v>953</v>
      </c>
      <c r="C633" s="9" t="s">
        <v>29</v>
      </c>
      <c r="D633" s="9" t="s">
        <v>345</v>
      </c>
      <c r="E633" s="9" t="s">
        <v>345</v>
      </c>
      <c r="H633" s="9" t="s">
        <v>19</v>
      </c>
      <c r="I633" s="9">
        <v>1</v>
      </c>
    </row>
    <row r="634" spans="1:9" x14ac:dyDescent="0.25">
      <c r="A634" s="10">
        <v>5</v>
      </c>
      <c r="B634" s="10" t="s">
        <v>954</v>
      </c>
      <c r="C634" s="10" t="s">
        <v>29</v>
      </c>
      <c r="D634" s="10" t="s">
        <v>474</v>
      </c>
      <c r="E634" s="10" t="s">
        <v>474</v>
      </c>
      <c r="H634" s="10" t="s">
        <v>19</v>
      </c>
      <c r="I634" s="10">
        <v>1</v>
      </c>
    </row>
    <row r="635" spans="1:9" x14ac:dyDescent="0.25">
      <c r="A635" s="9">
        <v>6</v>
      </c>
      <c r="B635" s="9" t="s">
        <v>955</v>
      </c>
      <c r="C635" s="9" t="s">
        <v>29</v>
      </c>
      <c r="D635" s="9" t="s">
        <v>22</v>
      </c>
      <c r="E635" s="9" t="s">
        <v>22</v>
      </c>
      <c r="F635" s="9" t="s">
        <v>23</v>
      </c>
      <c r="G635" s="9">
        <v>6.9616300000000006E-2</v>
      </c>
      <c r="H635" s="9" t="s">
        <v>19</v>
      </c>
      <c r="I635" s="9">
        <v>1</v>
      </c>
    </row>
    <row r="636" spans="1:9" x14ac:dyDescent="0.25">
      <c r="A636" s="9">
        <v>6</v>
      </c>
      <c r="B636" s="9" t="s">
        <v>37</v>
      </c>
      <c r="C636" s="9" t="s">
        <v>25</v>
      </c>
      <c r="D636" s="9" t="s">
        <v>38</v>
      </c>
      <c r="E636" s="9" t="s">
        <v>38</v>
      </c>
      <c r="F636" s="9" t="s">
        <v>27</v>
      </c>
      <c r="G636" s="9">
        <v>1.3392499999999999E-3</v>
      </c>
      <c r="H636" s="9"/>
      <c r="I636" s="9">
        <v>6</v>
      </c>
    </row>
    <row r="637" spans="1:9" x14ac:dyDescent="0.25">
      <c r="A637" s="10">
        <v>5</v>
      </c>
      <c r="B637" s="10" t="s">
        <v>956</v>
      </c>
      <c r="C637" s="10" t="s">
        <v>29</v>
      </c>
      <c r="D637" s="10" t="s">
        <v>474</v>
      </c>
      <c r="E637" s="10" t="s">
        <v>474</v>
      </c>
      <c r="H637" s="10" t="s">
        <v>19</v>
      </c>
      <c r="I637" s="10">
        <v>1</v>
      </c>
    </row>
    <row r="638" spans="1:9" x14ac:dyDescent="0.25">
      <c r="A638" s="9">
        <v>6</v>
      </c>
      <c r="B638" s="9" t="s">
        <v>957</v>
      </c>
      <c r="C638" s="9" t="s">
        <v>29</v>
      </c>
      <c r="D638" s="9" t="s">
        <v>22</v>
      </c>
      <c r="E638" s="9" t="s">
        <v>22</v>
      </c>
      <c r="F638" s="9" t="s">
        <v>23</v>
      </c>
      <c r="G638" s="9">
        <v>8.0222699999999994E-2</v>
      </c>
      <c r="H638" s="9" t="s">
        <v>19</v>
      </c>
      <c r="I638" s="9">
        <v>1</v>
      </c>
    </row>
    <row r="639" spans="1:9" x14ac:dyDescent="0.25">
      <c r="A639" s="9">
        <v>6</v>
      </c>
      <c r="B639" s="9" t="s">
        <v>37</v>
      </c>
      <c r="C639" s="9" t="s">
        <v>25</v>
      </c>
      <c r="D639" s="9" t="s">
        <v>38</v>
      </c>
      <c r="E639" s="9" t="s">
        <v>38</v>
      </c>
      <c r="F639" s="9" t="s">
        <v>27</v>
      </c>
      <c r="G639" s="9">
        <v>1.3392499999999999E-3</v>
      </c>
      <c r="H639" s="9"/>
      <c r="I639" s="9">
        <v>6</v>
      </c>
    </row>
    <row r="640" spans="1:9" x14ac:dyDescent="0.25">
      <c r="A640" s="10">
        <v>5</v>
      </c>
      <c r="B640" s="10" t="s">
        <v>958</v>
      </c>
      <c r="C640" s="10" t="s">
        <v>29</v>
      </c>
      <c r="D640" s="10" t="s">
        <v>22</v>
      </c>
      <c r="E640" s="10" t="s">
        <v>22</v>
      </c>
      <c r="F640" s="10" t="s">
        <v>23</v>
      </c>
      <c r="G640" s="10">
        <v>7.5995199999999999E-2</v>
      </c>
      <c r="H640" s="10" t="s">
        <v>19</v>
      </c>
      <c r="I640" s="10">
        <v>1</v>
      </c>
    </row>
    <row r="641" spans="1:9" x14ac:dyDescent="0.25">
      <c r="A641" s="10">
        <v>5</v>
      </c>
      <c r="B641" s="10" t="s">
        <v>959</v>
      </c>
      <c r="C641" s="10" t="s">
        <v>29</v>
      </c>
      <c r="D641" s="10" t="s">
        <v>474</v>
      </c>
      <c r="E641" s="10" t="s">
        <v>474</v>
      </c>
      <c r="H641" s="10" t="s">
        <v>19</v>
      </c>
      <c r="I641" s="10">
        <v>1</v>
      </c>
    </row>
    <row r="642" spans="1:9" x14ac:dyDescent="0.25">
      <c r="A642" s="9">
        <v>6</v>
      </c>
      <c r="B642" s="9" t="s">
        <v>960</v>
      </c>
      <c r="C642" s="9" t="s">
        <v>29</v>
      </c>
      <c r="D642" s="9" t="s">
        <v>22</v>
      </c>
      <c r="E642" s="9" t="s">
        <v>22</v>
      </c>
      <c r="F642" s="9" t="s">
        <v>715</v>
      </c>
      <c r="G642" s="9">
        <v>0.34081099999999998</v>
      </c>
      <c r="H642" s="9" t="s">
        <v>19</v>
      </c>
      <c r="I642" s="9">
        <v>1</v>
      </c>
    </row>
    <row r="643" spans="1:9" x14ac:dyDescent="0.25">
      <c r="A643" s="9">
        <v>6</v>
      </c>
      <c r="B643" s="9" t="s">
        <v>24</v>
      </c>
      <c r="C643" s="9" t="s">
        <v>25</v>
      </c>
      <c r="D643" s="9"/>
      <c r="E643" s="9" t="s">
        <v>26</v>
      </c>
      <c r="F643" s="9" t="s">
        <v>27</v>
      </c>
      <c r="G643" s="9"/>
      <c r="H643" s="9"/>
      <c r="I643" s="9">
        <v>4</v>
      </c>
    </row>
    <row r="644" spans="1:9" x14ac:dyDescent="0.25">
      <c r="A644" s="10">
        <v>5</v>
      </c>
      <c r="B644" s="10" t="s">
        <v>961</v>
      </c>
      <c r="C644" s="10" t="s">
        <v>29</v>
      </c>
      <c r="D644" s="10" t="s">
        <v>22</v>
      </c>
      <c r="E644" s="10" t="s">
        <v>22</v>
      </c>
      <c r="F644" s="10" t="s">
        <v>23</v>
      </c>
      <c r="G644" s="10">
        <v>0.354238</v>
      </c>
      <c r="H644" s="10" t="s">
        <v>19</v>
      </c>
      <c r="I644" s="10">
        <v>1</v>
      </c>
    </row>
    <row r="645" spans="1:9" x14ac:dyDescent="0.25">
      <c r="A645" s="10">
        <v>5</v>
      </c>
      <c r="B645" s="10" t="s">
        <v>717</v>
      </c>
      <c r="C645" s="10" t="s">
        <v>25</v>
      </c>
      <c r="D645" s="10"/>
      <c r="E645" s="10" t="s">
        <v>718</v>
      </c>
      <c r="F645" s="10" t="s">
        <v>335</v>
      </c>
      <c r="G645" s="10"/>
      <c r="H645" s="10"/>
      <c r="I645" s="10">
        <v>34</v>
      </c>
    </row>
    <row r="646" spans="1:9" ht="135" x14ac:dyDescent="0.25">
      <c r="A646" s="10">
        <v>3</v>
      </c>
      <c r="B646" s="10" t="s">
        <v>962</v>
      </c>
      <c r="C646" s="10" t="s">
        <v>25</v>
      </c>
      <c r="D646" s="12" t="s">
        <v>963</v>
      </c>
      <c r="E646" s="10" t="s">
        <v>964</v>
      </c>
      <c r="H646" s="10"/>
      <c r="I646" s="10">
        <v>2</v>
      </c>
    </row>
    <row r="647" spans="1:9" x14ac:dyDescent="0.25">
      <c r="A647" s="9">
        <v>4</v>
      </c>
      <c r="B647" s="9" t="s">
        <v>965</v>
      </c>
      <c r="C647" s="9" t="s">
        <v>25</v>
      </c>
      <c r="D647" s="9" t="s">
        <v>239</v>
      </c>
      <c r="E647" s="9" t="s">
        <v>239</v>
      </c>
      <c r="F647" s="9"/>
      <c r="G647" s="9">
        <v>0</v>
      </c>
      <c r="H647" s="9"/>
      <c r="I647" s="9">
        <v>1</v>
      </c>
    </row>
    <row r="648" spans="1:9" x14ac:dyDescent="0.25">
      <c r="A648" s="9">
        <v>4</v>
      </c>
      <c r="B648" s="9" t="s">
        <v>966</v>
      </c>
      <c r="C648" s="9" t="s">
        <v>25</v>
      </c>
      <c r="D648" s="9" t="s">
        <v>967</v>
      </c>
      <c r="E648" s="9" t="s">
        <v>967</v>
      </c>
      <c r="F648" s="9"/>
      <c r="G648" s="9">
        <v>0</v>
      </c>
      <c r="H648" s="9"/>
      <c r="I648" s="9">
        <v>1</v>
      </c>
    </row>
    <row r="649" spans="1:9" x14ac:dyDescent="0.25">
      <c r="A649" s="9">
        <v>4</v>
      </c>
      <c r="B649" s="9" t="s">
        <v>968</v>
      </c>
      <c r="C649" s="9" t="s">
        <v>25</v>
      </c>
      <c r="D649" s="9" t="s">
        <v>390</v>
      </c>
      <c r="E649" s="9" t="s">
        <v>390</v>
      </c>
      <c r="F649" s="9"/>
      <c r="G649" s="9">
        <v>0</v>
      </c>
      <c r="H649" s="9"/>
      <c r="I649" s="9">
        <v>1</v>
      </c>
    </row>
    <row r="650" spans="1:9" x14ac:dyDescent="0.25">
      <c r="A650" s="9">
        <v>4</v>
      </c>
      <c r="B650" s="9" t="s">
        <v>969</v>
      </c>
      <c r="C650" s="9" t="s">
        <v>25</v>
      </c>
      <c r="D650" s="9"/>
      <c r="E650" s="9" t="s">
        <v>970</v>
      </c>
      <c r="F650" s="9"/>
      <c r="G650" s="9">
        <v>0</v>
      </c>
      <c r="H650" s="9"/>
      <c r="I650" s="9">
        <v>2</v>
      </c>
    </row>
    <row r="651" spans="1:9" x14ac:dyDescent="0.25">
      <c r="A651" s="10">
        <v>3</v>
      </c>
      <c r="B651" s="10" t="s">
        <v>528</v>
      </c>
      <c r="C651" s="10" t="s">
        <v>25</v>
      </c>
      <c r="D651" s="10"/>
      <c r="E651" s="10" t="s">
        <v>529</v>
      </c>
      <c r="F651" s="10" t="s">
        <v>27</v>
      </c>
      <c r="G651" s="10"/>
      <c r="H651" s="10"/>
      <c r="I651" s="10">
        <v>2</v>
      </c>
    </row>
    <row r="652" spans="1:9" x14ac:dyDescent="0.25">
      <c r="A652" s="10">
        <v>3</v>
      </c>
      <c r="B652" s="10" t="s">
        <v>971</v>
      </c>
      <c r="C652" s="10" t="s">
        <v>25</v>
      </c>
      <c r="D652" s="10"/>
      <c r="E652" s="10" t="s">
        <v>527</v>
      </c>
      <c r="F652" s="10" t="s">
        <v>27</v>
      </c>
      <c r="G652" s="10"/>
      <c r="H652" s="10"/>
      <c r="I652" s="10">
        <v>2</v>
      </c>
    </row>
    <row r="653" spans="1:9" x14ac:dyDescent="0.25">
      <c r="A653" s="10">
        <v>3</v>
      </c>
      <c r="B653" s="10" t="s">
        <v>972</v>
      </c>
      <c r="C653" s="10" t="s">
        <v>35</v>
      </c>
      <c r="D653" s="10" t="s">
        <v>973</v>
      </c>
      <c r="E653" s="10" t="s">
        <v>973</v>
      </c>
      <c r="H653" s="10"/>
      <c r="I653" s="10">
        <v>2</v>
      </c>
    </row>
    <row r="654" spans="1:9" x14ac:dyDescent="0.25">
      <c r="A654" s="9">
        <v>4</v>
      </c>
      <c r="B654" s="9" t="s">
        <v>974</v>
      </c>
      <c r="C654" s="9" t="s">
        <v>35</v>
      </c>
      <c r="D654" s="9" t="s">
        <v>975</v>
      </c>
      <c r="E654" s="9" t="s">
        <v>975</v>
      </c>
      <c r="F654" s="9" t="s">
        <v>101</v>
      </c>
      <c r="G654" s="9">
        <v>6.2483900000000002E-2</v>
      </c>
      <c r="H654" s="9"/>
      <c r="I654" s="9">
        <v>1</v>
      </c>
    </row>
    <row r="655" spans="1:9" x14ac:dyDescent="0.25">
      <c r="A655" s="9">
        <v>4</v>
      </c>
      <c r="B655" s="9" t="s">
        <v>976</v>
      </c>
      <c r="C655" s="9" t="s">
        <v>25</v>
      </c>
      <c r="D655" s="9"/>
      <c r="E655" s="9" t="s">
        <v>977</v>
      </c>
      <c r="F655" s="9" t="s">
        <v>27</v>
      </c>
      <c r="G655" s="9"/>
      <c r="H655" s="9"/>
      <c r="I655" s="9">
        <v>2</v>
      </c>
    </row>
    <row r="656" spans="1:9" x14ac:dyDescent="0.25">
      <c r="A656" s="9">
        <v>4</v>
      </c>
      <c r="B656" s="9" t="s">
        <v>158</v>
      </c>
      <c r="C656" s="9" t="s">
        <v>25</v>
      </c>
      <c r="D656" s="9"/>
      <c r="E656" s="9" t="s">
        <v>159</v>
      </c>
      <c r="F656" s="9" t="s">
        <v>27</v>
      </c>
      <c r="G656" s="9"/>
      <c r="H656" s="9"/>
      <c r="I656" s="9">
        <v>4</v>
      </c>
    </row>
    <row r="657" spans="1:9" x14ac:dyDescent="0.25">
      <c r="A657" s="9">
        <v>4</v>
      </c>
      <c r="B657" s="9" t="s">
        <v>978</v>
      </c>
      <c r="C657" s="9" t="s">
        <v>25</v>
      </c>
      <c r="D657" s="9"/>
      <c r="E657" s="9" t="s">
        <v>631</v>
      </c>
      <c r="F657" s="9" t="s">
        <v>101</v>
      </c>
      <c r="G657" s="9"/>
      <c r="H657" s="9"/>
      <c r="I657" s="9">
        <v>8</v>
      </c>
    </row>
    <row r="658" spans="1:9" x14ac:dyDescent="0.25">
      <c r="A658" s="10">
        <v>3</v>
      </c>
      <c r="B658" s="10" t="s">
        <v>546</v>
      </c>
      <c r="C658" s="10" t="s">
        <v>78</v>
      </c>
      <c r="D658" s="10"/>
      <c r="E658" s="10" t="s">
        <v>547</v>
      </c>
      <c r="H658" s="10" t="s">
        <v>150</v>
      </c>
      <c r="I658" s="10">
        <v>2</v>
      </c>
    </row>
    <row r="659" spans="1:9" x14ac:dyDescent="0.25">
      <c r="A659" s="9">
        <v>4</v>
      </c>
      <c r="B659" s="9" t="s">
        <v>548</v>
      </c>
      <c r="C659" s="9" t="s">
        <v>29</v>
      </c>
      <c r="D659" s="9"/>
      <c r="E659" s="9" t="s">
        <v>549</v>
      </c>
      <c r="F659" s="9" t="s">
        <v>550</v>
      </c>
      <c r="G659" s="9">
        <v>4.21681E-2</v>
      </c>
      <c r="H659" s="9" t="s">
        <v>150</v>
      </c>
      <c r="I659" s="9">
        <v>1</v>
      </c>
    </row>
    <row r="660" spans="1:9" x14ac:dyDescent="0.25">
      <c r="A660" s="9">
        <v>4</v>
      </c>
      <c r="B660" s="9" t="s">
        <v>551</v>
      </c>
      <c r="C660" s="9" t="s">
        <v>29</v>
      </c>
      <c r="D660" s="9" t="s">
        <v>552</v>
      </c>
      <c r="E660" s="9" t="s">
        <v>552</v>
      </c>
      <c r="F660" s="9" t="s">
        <v>550</v>
      </c>
      <c r="G660" s="9">
        <v>6.0163700000000001E-2</v>
      </c>
      <c r="H660" s="9" t="s">
        <v>150</v>
      </c>
      <c r="I660" s="9">
        <v>1</v>
      </c>
    </row>
    <row r="661" spans="1:9" ht="150" x14ac:dyDescent="0.25">
      <c r="A661" s="9">
        <v>4</v>
      </c>
      <c r="B661" s="9" t="s">
        <v>553</v>
      </c>
      <c r="C661" s="9" t="s">
        <v>29</v>
      </c>
      <c r="D661" s="11" t="s">
        <v>554</v>
      </c>
      <c r="E661" s="9" t="s">
        <v>555</v>
      </c>
      <c r="H661" s="9" t="s">
        <v>150</v>
      </c>
      <c r="I661" s="9">
        <v>1</v>
      </c>
    </row>
    <row r="662" spans="1:9" x14ac:dyDescent="0.25">
      <c r="A662" s="10">
        <v>5</v>
      </c>
      <c r="B662" s="10" t="s">
        <v>556</v>
      </c>
      <c r="C662" s="10" t="s">
        <v>29</v>
      </c>
      <c r="D662" s="10" t="s">
        <v>557</v>
      </c>
      <c r="E662" s="10" t="s">
        <v>558</v>
      </c>
      <c r="H662" s="10" t="s">
        <v>150</v>
      </c>
      <c r="I662" s="10">
        <v>1</v>
      </c>
    </row>
    <row r="663" spans="1:9" x14ac:dyDescent="0.25">
      <c r="A663" s="9">
        <v>6</v>
      </c>
      <c r="B663" s="9" t="s">
        <v>559</v>
      </c>
      <c r="C663" s="9" t="s">
        <v>29</v>
      </c>
      <c r="D663" s="9" t="s">
        <v>560</v>
      </c>
      <c r="E663" s="9" t="s">
        <v>561</v>
      </c>
      <c r="F663" s="9" t="s">
        <v>562</v>
      </c>
      <c r="G663" s="9">
        <v>1.44726E-2</v>
      </c>
      <c r="H663" s="9" t="s">
        <v>150</v>
      </c>
      <c r="I663" s="9">
        <v>1</v>
      </c>
    </row>
    <row r="664" spans="1:9" x14ac:dyDescent="0.25">
      <c r="A664" s="9">
        <v>6</v>
      </c>
      <c r="B664" s="9" t="s">
        <v>563</v>
      </c>
      <c r="C664" s="9" t="s">
        <v>29</v>
      </c>
      <c r="D664" s="9" t="s">
        <v>564</v>
      </c>
      <c r="E664" s="9" t="s">
        <v>198</v>
      </c>
      <c r="F664" s="9" t="s">
        <v>562</v>
      </c>
      <c r="G664" s="9">
        <v>8.3433199999999996E-3</v>
      </c>
      <c r="H664" s="9" t="s">
        <v>150</v>
      </c>
      <c r="I664" s="9">
        <v>1</v>
      </c>
    </row>
    <row r="665" spans="1:9" x14ac:dyDescent="0.25">
      <c r="A665" s="10">
        <v>5</v>
      </c>
      <c r="B665" s="10" t="s">
        <v>565</v>
      </c>
      <c r="C665" s="10" t="s">
        <v>25</v>
      </c>
      <c r="D665" s="10"/>
      <c r="E665" s="10" t="s">
        <v>566</v>
      </c>
      <c r="F665" s="10" t="s">
        <v>567</v>
      </c>
      <c r="G665" s="10">
        <v>2.4548E-3</v>
      </c>
      <c r="H665" s="10"/>
      <c r="I665" s="10">
        <v>1</v>
      </c>
    </row>
    <row r="666" spans="1:9" x14ac:dyDescent="0.25">
      <c r="A666" s="9">
        <v>4</v>
      </c>
      <c r="B666" s="9" t="s">
        <v>568</v>
      </c>
      <c r="C666" s="9" t="s">
        <v>25</v>
      </c>
      <c r="D666" s="9" t="s">
        <v>569</v>
      </c>
      <c r="E666" s="9" t="s">
        <v>569</v>
      </c>
      <c r="F666" s="9" t="s">
        <v>499</v>
      </c>
      <c r="G666" s="9">
        <v>0</v>
      </c>
      <c r="H666" s="9"/>
      <c r="I666" s="9">
        <v>1</v>
      </c>
    </row>
    <row r="667" spans="1:9" x14ac:dyDescent="0.25">
      <c r="A667" s="9">
        <v>4</v>
      </c>
      <c r="B667" s="9" t="s">
        <v>570</v>
      </c>
      <c r="C667" s="9" t="s">
        <v>29</v>
      </c>
      <c r="D667" s="9"/>
      <c r="E667" s="9" t="s">
        <v>571</v>
      </c>
      <c r="F667" s="9" t="s">
        <v>572</v>
      </c>
      <c r="G667" s="9">
        <v>5.0590400000000005E-4</v>
      </c>
      <c r="H667" s="9" t="s">
        <v>150</v>
      </c>
      <c r="I667" s="9">
        <v>2</v>
      </c>
    </row>
    <row r="668" spans="1:9" x14ac:dyDescent="0.25">
      <c r="A668" s="10">
        <v>3</v>
      </c>
      <c r="B668" s="10" t="s">
        <v>646</v>
      </c>
      <c r="C668" s="10" t="s">
        <v>25</v>
      </c>
      <c r="D668" s="10" t="s">
        <v>647</v>
      </c>
      <c r="E668" s="10" t="s">
        <v>647</v>
      </c>
      <c r="F668" s="10"/>
      <c r="G668" s="10">
        <v>0</v>
      </c>
      <c r="H668" s="10"/>
      <c r="I668" s="10">
        <v>2</v>
      </c>
    </row>
    <row r="669" spans="1:9" x14ac:dyDescent="0.25">
      <c r="A669" s="10">
        <v>3</v>
      </c>
      <c r="B669" s="10" t="s">
        <v>979</v>
      </c>
      <c r="C669" s="10" t="s">
        <v>25</v>
      </c>
      <c r="D669" s="10" t="s">
        <v>980</v>
      </c>
      <c r="E669" s="10" t="s">
        <v>981</v>
      </c>
      <c r="F669" s="10" t="s">
        <v>700</v>
      </c>
      <c r="G669" s="10">
        <v>3.6290000000000003E-2</v>
      </c>
      <c r="H669" s="10"/>
      <c r="I669" s="10">
        <v>2</v>
      </c>
    </row>
    <row r="670" spans="1:9" ht="135" x14ac:dyDescent="0.25">
      <c r="A670" s="10">
        <v>3</v>
      </c>
      <c r="B670" s="10" t="s">
        <v>655</v>
      </c>
      <c r="C670" s="10" t="s">
        <v>29</v>
      </c>
      <c r="D670" s="12" t="s">
        <v>656</v>
      </c>
      <c r="E670" s="10" t="s">
        <v>657</v>
      </c>
      <c r="F670" s="10" t="s">
        <v>658</v>
      </c>
      <c r="G670" s="10">
        <v>1.2963000000000001E-2</v>
      </c>
      <c r="H670" s="10"/>
      <c r="I670" s="10">
        <v>2</v>
      </c>
    </row>
    <row r="671" spans="1:9" x14ac:dyDescent="0.25">
      <c r="A671" s="10">
        <v>3</v>
      </c>
      <c r="B671" s="10" t="s">
        <v>674</v>
      </c>
      <c r="C671" s="10" t="s">
        <v>25</v>
      </c>
      <c r="D671" s="10" t="s">
        <v>675</v>
      </c>
      <c r="E671" s="10" t="s">
        <v>675</v>
      </c>
      <c r="F671" s="10" t="s">
        <v>27</v>
      </c>
      <c r="G671" s="10"/>
      <c r="H671" s="10"/>
      <c r="I671" s="10">
        <v>4</v>
      </c>
    </row>
    <row r="672" spans="1:9" x14ac:dyDescent="0.25">
      <c r="A672" s="10">
        <v>3</v>
      </c>
      <c r="B672" s="10" t="s">
        <v>982</v>
      </c>
      <c r="C672" s="10" t="s">
        <v>25</v>
      </c>
      <c r="D672" s="10"/>
      <c r="E672" s="10" t="s">
        <v>9</v>
      </c>
      <c r="F672" s="10" t="s">
        <v>27</v>
      </c>
      <c r="G672" s="10"/>
      <c r="H672" s="10"/>
      <c r="I672" s="10">
        <v>4</v>
      </c>
    </row>
    <row r="673" spans="1:9" x14ac:dyDescent="0.25">
      <c r="A673" s="10">
        <v>3</v>
      </c>
      <c r="B673" s="10" t="s">
        <v>983</v>
      </c>
      <c r="C673" s="10" t="s">
        <v>25</v>
      </c>
      <c r="D673" s="10"/>
      <c r="E673" s="10" t="s">
        <v>984</v>
      </c>
      <c r="F673" s="10" t="s">
        <v>678</v>
      </c>
      <c r="G673" s="10">
        <v>1.36816E-3</v>
      </c>
      <c r="H673" s="10" t="s">
        <v>165</v>
      </c>
      <c r="I673" s="10">
        <v>4</v>
      </c>
    </row>
    <row r="674" spans="1:9" x14ac:dyDescent="0.25">
      <c r="A674" s="10">
        <v>3</v>
      </c>
      <c r="B674" s="10" t="s">
        <v>985</v>
      </c>
      <c r="C674" s="10" t="s">
        <v>25</v>
      </c>
      <c r="D674" s="10"/>
      <c r="E674" s="10" t="s">
        <v>986</v>
      </c>
      <c r="F674" s="10" t="s">
        <v>27</v>
      </c>
      <c r="G674" s="10"/>
      <c r="H674" s="10"/>
      <c r="I674" s="10">
        <v>4</v>
      </c>
    </row>
    <row r="675" spans="1:9" x14ac:dyDescent="0.25">
      <c r="A675" s="10">
        <v>3</v>
      </c>
      <c r="B675" s="10" t="s">
        <v>987</v>
      </c>
      <c r="C675" s="10" t="s">
        <v>54</v>
      </c>
      <c r="D675" s="10" t="s">
        <v>988</v>
      </c>
      <c r="E675" s="10" t="s">
        <v>989</v>
      </c>
      <c r="F675" s="10" t="s">
        <v>391</v>
      </c>
      <c r="G675" s="10">
        <v>5.1902799999999999E-2</v>
      </c>
      <c r="H675" s="10" t="s">
        <v>165</v>
      </c>
      <c r="I675" s="10">
        <v>5</v>
      </c>
    </row>
    <row r="676" spans="1:9" ht="60" x14ac:dyDescent="0.25">
      <c r="A676" s="10">
        <v>3</v>
      </c>
      <c r="B676" s="10" t="s">
        <v>990</v>
      </c>
      <c r="C676" s="10" t="s">
        <v>574</v>
      </c>
      <c r="D676" s="12" t="s">
        <v>745</v>
      </c>
      <c r="E676" s="10" t="s">
        <v>746</v>
      </c>
      <c r="H676" s="10" t="s">
        <v>218</v>
      </c>
      <c r="I676" s="10">
        <v>6</v>
      </c>
    </row>
    <row r="677" spans="1:9" x14ac:dyDescent="0.25">
      <c r="A677" s="9">
        <v>4</v>
      </c>
      <c r="B677" s="9" t="s">
        <v>991</v>
      </c>
      <c r="C677" s="9" t="s">
        <v>17</v>
      </c>
      <c r="D677" s="9"/>
      <c r="E677" s="9" t="s">
        <v>992</v>
      </c>
      <c r="F677" s="9" t="s">
        <v>294</v>
      </c>
      <c r="G677" s="9">
        <v>6.5892299999999995E-4</v>
      </c>
      <c r="H677" s="9" t="s">
        <v>289</v>
      </c>
      <c r="I677" s="9">
        <v>1</v>
      </c>
    </row>
    <row r="678" spans="1:9" x14ac:dyDescent="0.25">
      <c r="A678" s="9">
        <v>4</v>
      </c>
      <c r="B678" s="9" t="s">
        <v>747</v>
      </c>
      <c r="C678" s="9" t="s">
        <v>17</v>
      </c>
      <c r="D678" s="9"/>
      <c r="E678" s="9" t="s">
        <v>748</v>
      </c>
      <c r="F678" s="9" t="s">
        <v>335</v>
      </c>
      <c r="G678" s="9">
        <v>5.9449100000000003E-3</v>
      </c>
      <c r="H678" s="9" t="s">
        <v>150</v>
      </c>
      <c r="I678" s="9">
        <v>1</v>
      </c>
    </row>
    <row r="679" spans="1:9" x14ac:dyDescent="0.25">
      <c r="A679" s="9">
        <v>4</v>
      </c>
      <c r="B679" s="9" t="s">
        <v>756</v>
      </c>
      <c r="C679" s="9" t="s">
        <v>17</v>
      </c>
      <c r="D679" s="9"/>
      <c r="E679" s="9" t="s">
        <v>757</v>
      </c>
      <c r="H679" s="9" t="s">
        <v>218</v>
      </c>
      <c r="I679" s="9">
        <v>1</v>
      </c>
    </row>
    <row r="680" spans="1:9" x14ac:dyDescent="0.25">
      <c r="A680" s="10">
        <v>5</v>
      </c>
      <c r="B680" s="10" t="s">
        <v>758</v>
      </c>
      <c r="C680" s="10" t="s">
        <v>17</v>
      </c>
      <c r="D680" s="10"/>
      <c r="E680" s="10" t="s">
        <v>759</v>
      </c>
      <c r="F680" s="10" t="s">
        <v>594</v>
      </c>
      <c r="G680" s="13">
        <v>9.22966E-5</v>
      </c>
      <c r="H680" s="10" t="s">
        <v>165</v>
      </c>
      <c r="I680" s="10">
        <v>1</v>
      </c>
    </row>
    <row r="681" spans="1:9" x14ac:dyDescent="0.25">
      <c r="A681" s="10">
        <v>5</v>
      </c>
      <c r="B681" s="10" t="s">
        <v>760</v>
      </c>
      <c r="C681" s="10" t="s">
        <v>17</v>
      </c>
      <c r="D681" s="10"/>
      <c r="E681" s="10" t="s">
        <v>309</v>
      </c>
      <c r="F681" s="10" t="s">
        <v>101</v>
      </c>
      <c r="G681" s="10">
        <v>4.9734100000000002E-3</v>
      </c>
      <c r="H681" s="10" t="s">
        <v>150</v>
      </c>
      <c r="I681" s="10">
        <v>1</v>
      </c>
    </row>
    <row r="682" spans="1:9" x14ac:dyDescent="0.25">
      <c r="A682" s="9">
        <v>4</v>
      </c>
      <c r="B682" s="9" t="s">
        <v>749</v>
      </c>
      <c r="C682" s="9" t="s">
        <v>17</v>
      </c>
      <c r="D682" s="9"/>
      <c r="E682" s="9" t="s">
        <v>750</v>
      </c>
      <c r="F682" s="9" t="s">
        <v>751</v>
      </c>
      <c r="G682" s="9">
        <v>2.5520899999999999E-3</v>
      </c>
      <c r="H682" s="9" t="s">
        <v>150</v>
      </c>
      <c r="I682" s="9">
        <v>1</v>
      </c>
    </row>
    <row r="683" spans="1:9" x14ac:dyDescent="0.25">
      <c r="A683" s="9">
        <v>4</v>
      </c>
      <c r="B683" s="9" t="s">
        <v>261</v>
      </c>
      <c r="C683" s="9" t="s">
        <v>25</v>
      </c>
      <c r="D683" s="9"/>
      <c r="E683" s="9" t="s">
        <v>9</v>
      </c>
      <c r="F683" s="9" t="s">
        <v>27</v>
      </c>
      <c r="G683" s="9"/>
      <c r="H683" s="9"/>
      <c r="I683" s="9">
        <v>2</v>
      </c>
    </row>
    <row r="684" spans="1:9" x14ac:dyDescent="0.25">
      <c r="A684" s="9">
        <v>4</v>
      </c>
      <c r="B684" s="9" t="s">
        <v>761</v>
      </c>
      <c r="C684" s="9" t="s">
        <v>17</v>
      </c>
      <c r="D684" s="9"/>
      <c r="E684" s="9" t="s">
        <v>762</v>
      </c>
      <c r="F684" s="9" t="s">
        <v>763</v>
      </c>
      <c r="G684" s="9">
        <v>7.8660000000000004E-4</v>
      </c>
      <c r="H684" s="9" t="s">
        <v>165</v>
      </c>
      <c r="I684" s="9">
        <v>2</v>
      </c>
    </row>
    <row r="685" spans="1:9" x14ac:dyDescent="0.25">
      <c r="A685" s="10">
        <v>3</v>
      </c>
      <c r="B685" s="10" t="s">
        <v>253</v>
      </c>
      <c r="C685" s="10" t="s">
        <v>25</v>
      </c>
      <c r="D685" s="10" t="s">
        <v>254</v>
      </c>
      <c r="E685" s="10" t="s">
        <v>254</v>
      </c>
      <c r="F685" s="10" t="s">
        <v>27</v>
      </c>
      <c r="G685" s="10"/>
      <c r="H685" s="10"/>
      <c r="I685" s="10">
        <v>8</v>
      </c>
    </row>
    <row r="686" spans="1:9" x14ac:dyDescent="0.25">
      <c r="A686" s="10">
        <v>3</v>
      </c>
      <c r="B686" s="10" t="s">
        <v>993</v>
      </c>
      <c r="C686" s="10" t="s">
        <v>25</v>
      </c>
      <c r="D686" s="10"/>
      <c r="E686" s="10" t="s">
        <v>256</v>
      </c>
      <c r="F686" s="10" t="s">
        <v>27</v>
      </c>
      <c r="G686" s="10"/>
      <c r="H686" s="10"/>
      <c r="I686" s="10">
        <v>8</v>
      </c>
    </row>
    <row r="687" spans="1:9" x14ac:dyDescent="0.25">
      <c r="A687" s="10">
        <v>3</v>
      </c>
      <c r="B687" s="10" t="s">
        <v>8</v>
      </c>
      <c r="C687" s="10" t="s">
        <v>25</v>
      </c>
      <c r="D687" s="10"/>
      <c r="E687" s="10" t="s">
        <v>9</v>
      </c>
      <c r="F687" s="10" t="s">
        <v>27</v>
      </c>
      <c r="G687" s="10"/>
      <c r="H687" s="10"/>
      <c r="I687" s="10">
        <v>64</v>
      </c>
    </row>
    <row r="688" spans="1:9" x14ac:dyDescent="0.25">
      <c r="A688" s="9">
        <v>2</v>
      </c>
      <c r="B688" s="9" t="s">
        <v>994</v>
      </c>
      <c r="C688" s="9" t="s">
        <v>70</v>
      </c>
      <c r="D688" s="9"/>
      <c r="E688" s="9" t="s">
        <v>995</v>
      </c>
      <c r="H688" s="9" t="s">
        <v>150</v>
      </c>
      <c r="I688" s="9">
        <v>1</v>
      </c>
    </row>
    <row r="689" spans="1:9" ht="165" x14ac:dyDescent="0.25">
      <c r="A689" s="10">
        <v>3</v>
      </c>
      <c r="B689" s="10" t="s">
        <v>996</v>
      </c>
      <c r="C689" s="10" t="s">
        <v>78</v>
      </c>
      <c r="D689" s="12" t="s">
        <v>997</v>
      </c>
      <c r="E689" s="10" t="s">
        <v>998</v>
      </c>
      <c r="F689" s="10" t="s">
        <v>486</v>
      </c>
      <c r="G689" s="10">
        <v>0.28760200000000002</v>
      </c>
      <c r="H689" s="10"/>
      <c r="I689" s="10">
        <v>1</v>
      </c>
    </row>
    <row r="690" spans="1:9" x14ac:dyDescent="0.25">
      <c r="A690" s="9">
        <v>2</v>
      </c>
      <c r="B690" s="9" t="s">
        <v>999</v>
      </c>
      <c r="C690" s="9" t="s">
        <v>227</v>
      </c>
      <c r="D690" s="9" t="s">
        <v>1000</v>
      </c>
      <c r="E690" s="9" t="s">
        <v>1000</v>
      </c>
      <c r="F690" s="9" t="s">
        <v>335</v>
      </c>
      <c r="G690" s="9">
        <v>9.6437599999999995E-3</v>
      </c>
      <c r="H690" s="9" t="s">
        <v>102</v>
      </c>
      <c r="I690" s="9">
        <v>1</v>
      </c>
    </row>
    <row r="691" spans="1:9" x14ac:dyDescent="0.25">
      <c r="A691" s="9">
        <v>2</v>
      </c>
      <c r="B691" s="9" t="s">
        <v>1001</v>
      </c>
      <c r="C691" s="9" t="s">
        <v>227</v>
      </c>
      <c r="D691" s="9" t="s">
        <v>1000</v>
      </c>
      <c r="E691" s="9" t="s">
        <v>1000</v>
      </c>
      <c r="F691" s="9" t="s">
        <v>335</v>
      </c>
      <c r="G691" s="9">
        <v>1.05267E-2</v>
      </c>
      <c r="H691" s="9" t="s">
        <v>102</v>
      </c>
      <c r="I691" s="9">
        <v>1</v>
      </c>
    </row>
    <row r="692" spans="1:9" x14ac:dyDescent="0.25">
      <c r="A692" s="9">
        <v>2</v>
      </c>
      <c r="B692" s="9" t="s">
        <v>1002</v>
      </c>
      <c r="C692" s="9" t="s">
        <v>35</v>
      </c>
      <c r="D692" s="9" t="s">
        <v>1003</v>
      </c>
      <c r="E692" s="9" t="s">
        <v>1004</v>
      </c>
      <c r="H692" s="9"/>
      <c r="I692" s="9">
        <v>1</v>
      </c>
    </row>
    <row r="693" spans="1:9" x14ac:dyDescent="0.25">
      <c r="A693" s="10">
        <v>3</v>
      </c>
      <c r="B693" s="10" t="s">
        <v>1005</v>
      </c>
      <c r="C693" s="10" t="s">
        <v>25</v>
      </c>
      <c r="D693" s="10"/>
      <c r="E693" s="10" t="s">
        <v>1006</v>
      </c>
      <c r="F693" s="10" t="s">
        <v>27</v>
      </c>
      <c r="G693" s="10"/>
      <c r="H693" s="10"/>
      <c r="I693" s="10">
        <v>1</v>
      </c>
    </row>
    <row r="694" spans="1:9" x14ac:dyDescent="0.25">
      <c r="A694" s="10">
        <v>3</v>
      </c>
      <c r="B694" s="10" t="s">
        <v>1007</v>
      </c>
      <c r="C694" s="10" t="s">
        <v>25</v>
      </c>
      <c r="D694" s="10"/>
      <c r="E694" s="10" t="s">
        <v>1008</v>
      </c>
      <c r="F694" s="10" t="s">
        <v>27</v>
      </c>
      <c r="G694" s="10"/>
      <c r="H694" s="10"/>
      <c r="I694" s="10">
        <v>1</v>
      </c>
    </row>
    <row r="695" spans="1:9" x14ac:dyDescent="0.25">
      <c r="A695" s="10">
        <v>3</v>
      </c>
      <c r="B695" s="10" t="s">
        <v>1009</v>
      </c>
      <c r="C695" s="10" t="s">
        <v>25</v>
      </c>
      <c r="D695" s="10" t="s">
        <v>1010</v>
      </c>
      <c r="E695" s="10" t="s">
        <v>1010</v>
      </c>
      <c r="F695" s="10"/>
      <c r="G695" s="10">
        <v>0</v>
      </c>
      <c r="H695" s="10"/>
      <c r="I695" s="10">
        <v>1</v>
      </c>
    </row>
    <row r="696" spans="1:9" ht="180" x14ac:dyDescent="0.25">
      <c r="A696" s="10">
        <v>3</v>
      </c>
      <c r="B696" s="10" t="s">
        <v>1011</v>
      </c>
      <c r="C696" s="10" t="s">
        <v>25</v>
      </c>
      <c r="D696" s="12" t="s">
        <v>1012</v>
      </c>
      <c r="E696" s="10" t="s">
        <v>1013</v>
      </c>
      <c r="F696" s="10" t="s">
        <v>27</v>
      </c>
      <c r="G696" s="10">
        <v>1.7323099999999999E-3</v>
      </c>
      <c r="H696" s="10"/>
      <c r="I696" s="10">
        <v>1</v>
      </c>
    </row>
    <row r="697" spans="1:9" x14ac:dyDescent="0.25">
      <c r="A697" s="10">
        <v>3</v>
      </c>
      <c r="B697" s="10" t="s">
        <v>1014</v>
      </c>
      <c r="C697" s="10" t="s">
        <v>35</v>
      </c>
      <c r="D697" s="10" t="s">
        <v>1015</v>
      </c>
      <c r="E697" s="10" t="s">
        <v>1016</v>
      </c>
      <c r="H697" s="10"/>
      <c r="I697" s="10">
        <v>1</v>
      </c>
    </row>
    <row r="698" spans="1:9" x14ac:dyDescent="0.25">
      <c r="A698" s="9">
        <v>4</v>
      </c>
      <c r="B698" s="9" t="s">
        <v>1017</v>
      </c>
      <c r="C698" s="9" t="s">
        <v>35</v>
      </c>
      <c r="D698" s="9"/>
      <c r="E698" s="9" t="s">
        <v>1018</v>
      </c>
      <c r="H698" s="9"/>
      <c r="I698" s="9">
        <v>1</v>
      </c>
    </row>
    <row r="699" spans="1:9" x14ac:dyDescent="0.25">
      <c r="A699" s="10">
        <v>5</v>
      </c>
      <c r="B699" s="10" t="s">
        <v>1019</v>
      </c>
      <c r="C699" s="10" t="s">
        <v>35</v>
      </c>
      <c r="D699" s="10" t="s">
        <v>1020</v>
      </c>
      <c r="E699" s="10" t="s">
        <v>1021</v>
      </c>
      <c r="F699" s="10" t="s">
        <v>45</v>
      </c>
      <c r="G699" s="10">
        <v>6.0064999999999997E-3</v>
      </c>
      <c r="H699" s="10"/>
      <c r="I699" s="10">
        <v>1</v>
      </c>
    </row>
    <row r="700" spans="1:9" x14ac:dyDescent="0.25">
      <c r="A700" s="10">
        <v>5</v>
      </c>
      <c r="B700" s="10" t="s">
        <v>49</v>
      </c>
      <c r="C700" s="10" t="s">
        <v>25</v>
      </c>
      <c r="D700" s="10" t="s">
        <v>50</v>
      </c>
      <c r="E700" s="10" t="s">
        <v>50</v>
      </c>
      <c r="F700" s="10" t="s">
        <v>27</v>
      </c>
      <c r="G700" s="10"/>
      <c r="H700" s="10"/>
      <c r="I700" s="10">
        <v>3</v>
      </c>
    </row>
    <row r="701" spans="1:9" x14ac:dyDescent="0.25">
      <c r="A701" s="10">
        <v>5</v>
      </c>
      <c r="B701" s="10" t="s">
        <v>51</v>
      </c>
      <c r="C701" s="10" t="s">
        <v>25</v>
      </c>
      <c r="D701" s="10" t="s">
        <v>52</v>
      </c>
      <c r="E701" s="10" t="s">
        <v>52</v>
      </c>
      <c r="F701" s="10" t="s">
        <v>27</v>
      </c>
      <c r="G701" s="10"/>
      <c r="H701" s="10"/>
      <c r="I701" s="10">
        <v>4</v>
      </c>
    </row>
    <row r="702" spans="1:9" x14ac:dyDescent="0.25">
      <c r="A702" s="9">
        <v>4</v>
      </c>
      <c r="B702" s="9" t="s">
        <v>1022</v>
      </c>
      <c r="C702" s="9" t="s">
        <v>35</v>
      </c>
      <c r="D702" s="9"/>
      <c r="E702" s="9" t="s">
        <v>1023</v>
      </c>
      <c r="H702" s="9"/>
      <c r="I702" s="9">
        <v>1</v>
      </c>
    </row>
    <row r="703" spans="1:9" x14ac:dyDescent="0.25">
      <c r="A703" s="10">
        <v>5</v>
      </c>
      <c r="B703" s="10" t="s">
        <v>1024</v>
      </c>
      <c r="C703" s="10" t="s">
        <v>35</v>
      </c>
      <c r="D703" s="10"/>
      <c r="E703" s="10" t="s">
        <v>1025</v>
      </c>
      <c r="F703" s="10" t="s">
        <v>1026</v>
      </c>
      <c r="G703" s="10">
        <v>0</v>
      </c>
      <c r="H703" s="10"/>
      <c r="I703" s="10">
        <v>1</v>
      </c>
    </row>
    <row r="704" spans="1:9" x14ac:dyDescent="0.25">
      <c r="A704" s="10">
        <v>5</v>
      </c>
      <c r="B704" s="10" t="s">
        <v>318</v>
      </c>
      <c r="C704" s="10" t="s">
        <v>25</v>
      </c>
      <c r="D704" s="10"/>
      <c r="E704" s="10" t="s">
        <v>62</v>
      </c>
      <c r="F704" s="10" t="s">
        <v>27</v>
      </c>
      <c r="G704" s="10"/>
      <c r="H704" s="10"/>
      <c r="I704" s="10">
        <v>4</v>
      </c>
    </row>
    <row r="705" spans="1:9" x14ac:dyDescent="0.25">
      <c r="A705" s="9">
        <v>4</v>
      </c>
      <c r="B705" s="9" t="s">
        <v>1027</v>
      </c>
      <c r="C705" s="9" t="s">
        <v>35</v>
      </c>
      <c r="D705" s="9"/>
      <c r="E705" s="9" t="s">
        <v>1028</v>
      </c>
      <c r="H705" s="9"/>
      <c r="I705" s="9">
        <v>1</v>
      </c>
    </row>
    <row r="706" spans="1:9" x14ac:dyDescent="0.25">
      <c r="A706" s="10">
        <v>5</v>
      </c>
      <c r="B706" s="10" t="s">
        <v>1029</v>
      </c>
      <c r="C706" s="10" t="s">
        <v>35</v>
      </c>
      <c r="D706" s="10"/>
      <c r="E706" s="10" t="s">
        <v>1030</v>
      </c>
      <c r="F706" s="10" t="s">
        <v>80</v>
      </c>
      <c r="G706" s="10">
        <v>0.56276899999999996</v>
      </c>
      <c r="H706" s="10"/>
      <c r="I706" s="10">
        <v>1</v>
      </c>
    </row>
    <row r="707" spans="1:9" x14ac:dyDescent="0.25">
      <c r="A707" s="10">
        <v>5</v>
      </c>
      <c r="B707" s="10" t="s">
        <v>84</v>
      </c>
      <c r="C707" s="10" t="s">
        <v>25</v>
      </c>
      <c r="D707" s="10" t="s">
        <v>50</v>
      </c>
      <c r="E707" s="10" t="s">
        <v>50</v>
      </c>
      <c r="F707" s="10" t="s">
        <v>27</v>
      </c>
      <c r="G707" s="10"/>
      <c r="H707" s="10"/>
      <c r="I707" s="10">
        <v>6</v>
      </c>
    </row>
    <row r="708" spans="1:9" x14ac:dyDescent="0.25">
      <c r="A708" s="9">
        <v>4</v>
      </c>
      <c r="B708" s="9" t="s">
        <v>1031</v>
      </c>
      <c r="C708" s="9" t="s">
        <v>35</v>
      </c>
      <c r="D708" s="9"/>
      <c r="E708" s="9" t="s">
        <v>1018</v>
      </c>
      <c r="H708" s="9"/>
      <c r="I708" s="9">
        <v>1</v>
      </c>
    </row>
    <row r="709" spans="1:9" x14ac:dyDescent="0.25">
      <c r="A709" s="10">
        <v>5</v>
      </c>
      <c r="B709" s="10" t="s">
        <v>1032</v>
      </c>
      <c r="C709" s="10" t="s">
        <v>35</v>
      </c>
      <c r="D709" s="10" t="s">
        <v>1020</v>
      </c>
      <c r="E709" s="10" t="s">
        <v>1021</v>
      </c>
      <c r="F709" s="10" t="s">
        <v>45</v>
      </c>
      <c r="G709" s="10">
        <v>6.6631900000000003E-3</v>
      </c>
      <c r="H709" s="10"/>
      <c r="I709" s="10">
        <v>1</v>
      </c>
    </row>
    <row r="710" spans="1:9" x14ac:dyDescent="0.25">
      <c r="A710" s="10">
        <v>5</v>
      </c>
      <c r="B710" s="10" t="s">
        <v>49</v>
      </c>
      <c r="C710" s="10" t="s">
        <v>25</v>
      </c>
      <c r="D710" s="10" t="s">
        <v>50</v>
      </c>
      <c r="E710" s="10" t="s">
        <v>50</v>
      </c>
      <c r="F710" s="10" t="s">
        <v>27</v>
      </c>
      <c r="G710" s="10"/>
      <c r="H710" s="10"/>
      <c r="I710" s="10">
        <v>3</v>
      </c>
    </row>
    <row r="711" spans="1:9" x14ac:dyDescent="0.25">
      <c r="A711" s="10">
        <v>3</v>
      </c>
      <c r="B711" s="10" t="s">
        <v>1033</v>
      </c>
      <c r="C711" s="10" t="s">
        <v>35</v>
      </c>
      <c r="D711" s="10" t="s">
        <v>1034</v>
      </c>
      <c r="E711" s="10" t="s">
        <v>1034</v>
      </c>
      <c r="F711" s="10" t="s">
        <v>1035</v>
      </c>
      <c r="G711" s="10">
        <v>0.15964800000000001</v>
      </c>
      <c r="H711" s="10"/>
      <c r="I711" s="10">
        <v>1</v>
      </c>
    </row>
    <row r="712" spans="1:9" x14ac:dyDescent="0.25">
      <c r="A712" s="10">
        <v>3</v>
      </c>
      <c r="B712" s="10" t="s">
        <v>1036</v>
      </c>
      <c r="C712" s="10" t="s">
        <v>25</v>
      </c>
      <c r="D712" s="10" t="s">
        <v>1037</v>
      </c>
      <c r="E712" s="10" t="s">
        <v>1037</v>
      </c>
      <c r="H712" s="10"/>
      <c r="I712" s="10">
        <v>1</v>
      </c>
    </row>
    <row r="713" spans="1:9" x14ac:dyDescent="0.25">
      <c r="A713" s="9">
        <v>4</v>
      </c>
      <c r="B713" s="9" t="s">
        <v>1038</v>
      </c>
      <c r="C713" s="9" t="s">
        <v>25</v>
      </c>
      <c r="D713" s="9" t="s">
        <v>1039</v>
      </c>
      <c r="E713" s="9" t="s">
        <v>1039</v>
      </c>
      <c r="F713" s="9" t="s">
        <v>578</v>
      </c>
      <c r="G713" s="9">
        <v>4.94832E-3</v>
      </c>
      <c r="H713" s="9"/>
      <c r="I713" s="9">
        <v>1</v>
      </c>
    </row>
    <row r="714" spans="1:9" x14ac:dyDescent="0.25">
      <c r="A714" s="9">
        <v>4</v>
      </c>
      <c r="B714" s="9" t="s">
        <v>49</v>
      </c>
      <c r="C714" s="9" t="s">
        <v>25</v>
      </c>
      <c r="D714" s="9" t="s">
        <v>50</v>
      </c>
      <c r="E714" s="9" t="s">
        <v>50</v>
      </c>
      <c r="F714" s="9" t="s">
        <v>27</v>
      </c>
      <c r="G714" s="9"/>
      <c r="H714" s="9"/>
      <c r="I714" s="9">
        <v>4</v>
      </c>
    </row>
    <row r="715" spans="1:9" x14ac:dyDescent="0.25">
      <c r="A715" s="10">
        <v>3</v>
      </c>
      <c r="B715" s="10" t="s">
        <v>1040</v>
      </c>
      <c r="C715" s="10" t="s">
        <v>25</v>
      </c>
      <c r="D715" s="10" t="s">
        <v>239</v>
      </c>
      <c r="E715" s="10" t="s">
        <v>239</v>
      </c>
      <c r="F715" s="10" t="s">
        <v>942</v>
      </c>
      <c r="G715" s="10">
        <v>4.4190599999999998E-3</v>
      </c>
      <c r="H715" s="10"/>
      <c r="I715" s="10">
        <v>1</v>
      </c>
    </row>
    <row r="716" spans="1:9" x14ac:dyDescent="0.25">
      <c r="A716" s="10">
        <v>3</v>
      </c>
      <c r="B716" s="10" t="s">
        <v>1041</v>
      </c>
      <c r="C716" s="10" t="s">
        <v>25</v>
      </c>
      <c r="D716" s="10" t="s">
        <v>1042</v>
      </c>
      <c r="E716" s="10" t="s">
        <v>1042</v>
      </c>
      <c r="H716" s="10"/>
      <c r="I716" s="10">
        <v>1</v>
      </c>
    </row>
    <row r="717" spans="1:9" x14ac:dyDescent="0.25">
      <c r="A717" s="9">
        <v>4</v>
      </c>
      <c r="B717" s="9" t="s">
        <v>1043</v>
      </c>
      <c r="C717" s="9" t="s">
        <v>25</v>
      </c>
      <c r="D717" s="9" t="s">
        <v>1044</v>
      </c>
      <c r="E717" s="9" t="s">
        <v>1044</v>
      </c>
      <c r="F717" s="9"/>
      <c r="G717" s="9">
        <v>0</v>
      </c>
      <c r="H717" s="9"/>
      <c r="I717" s="9">
        <v>1</v>
      </c>
    </row>
    <row r="718" spans="1:9" x14ac:dyDescent="0.25">
      <c r="A718" s="9">
        <v>4</v>
      </c>
      <c r="B718" s="9" t="s">
        <v>1045</v>
      </c>
      <c r="C718" s="9" t="s">
        <v>25</v>
      </c>
      <c r="D718" s="9" t="s">
        <v>1046</v>
      </c>
      <c r="E718" s="9" t="s">
        <v>1046</v>
      </c>
      <c r="F718" s="9"/>
      <c r="G718" s="9">
        <v>0</v>
      </c>
      <c r="H718" s="9"/>
      <c r="I718" s="9">
        <v>1</v>
      </c>
    </row>
    <row r="719" spans="1:9" x14ac:dyDescent="0.25">
      <c r="A719" s="10">
        <v>3</v>
      </c>
      <c r="B719" s="10" t="s">
        <v>1047</v>
      </c>
      <c r="C719" s="10" t="s">
        <v>25</v>
      </c>
      <c r="D719" s="10"/>
      <c r="E719" s="10" t="s">
        <v>1048</v>
      </c>
      <c r="F719" s="10" t="s">
        <v>335</v>
      </c>
      <c r="G719" s="10"/>
      <c r="H719" s="10"/>
      <c r="I719" s="10">
        <v>1</v>
      </c>
    </row>
    <row r="720" spans="1:9" x14ac:dyDescent="0.25">
      <c r="A720" s="10">
        <v>3</v>
      </c>
      <c r="B720" s="10" t="s">
        <v>1049</v>
      </c>
      <c r="C720" s="10" t="s">
        <v>25</v>
      </c>
      <c r="D720" s="10"/>
      <c r="E720" s="10" t="s">
        <v>1050</v>
      </c>
      <c r="F720" s="10" t="s">
        <v>27</v>
      </c>
      <c r="G720" s="10"/>
      <c r="H720" s="10"/>
      <c r="I720" s="10">
        <v>1</v>
      </c>
    </row>
    <row r="721" spans="1:9" x14ac:dyDescent="0.25">
      <c r="A721" s="10">
        <v>3</v>
      </c>
      <c r="B721" s="10" t="s">
        <v>719</v>
      </c>
      <c r="C721" s="10" t="s">
        <v>25</v>
      </c>
      <c r="D721" s="10" t="s">
        <v>332</v>
      </c>
      <c r="E721" s="10" t="s">
        <v>332</v>
      </c>
      <c r="H721" s="10"/>
      <c r="I721" s="10">
        <v>2</v>
      </c>
    </row>
    <row r="722" spans="1:9" x14ac:dyDescent="0.25">
      <c r="A722" s="9">
        <v>4</v>
      </c>
      <c r="B722" s="9" t="s">
        <v>720</v>
      </c>
      <c r="C722" s="9" t="s">
        <v>25</v>
      </c>
      <c r="D722" s="9" t="s">
        <v>334</v>
      </c>
      <c r="E722" s="9" t="s">
        <v>334</v>
      </c>
      <c r="F722" s="9" t="s">
        <v>335</v>
      </c>
      <c r="G722" s="9">
        <v>0.45253199999999999</v>
      </c>
      <c r="H722" s="9"/>
      <c r="I722" s="9">
        <v>1</v>
      </c>
    </row>
    <row r="723" spans="1:9" x14ac:dyDescent="0.25">
      <c r="A723" s="9">
        <v>4</v>
      </c>
      <c r="B723" s="9" t="s">
        <v>721</v>
      </c>
      <c r="C723" s="9" t="s">
        <v>25</v>
      </c>
      <c r="D723" s="9" t="s">
        <v>337</v>
      </c>
      <c r="E723" s="9" t="s">
        <v>337</v>
      </c>
      <c r="F723" s="9" t="s">
        <v>335</v>
      </c>
      <c r="G723" s="9">
        <v>0.42641299999999999</v>
      </c>
      <c r="H723" s="9"/>
      <c r="I723" s="9">
        <v>1</v>
      </c>
    </row>
    <row r="724" spans="1:9" x14ac:dyDescent="0.25">
      <c r="A724" s="9">
        <v>4</v>
      </c>
      <c r="B724" s="9" t="s">
        <v>722</v>
      </c>
      <c r="C724" s="9" t="s">
        <v>25</v>
      </c>
      <c r="D724" s="9" t="s">
        <v>339</v>
      </c>
      <c r="E724" s="9" t="s">
        <v>339</v>
      </c>
      <c r="F724" s="9" t="s">
        <v>335</v>
      </c>
      <c r="G724" s="9">
        <v>0.85629699999999997</v>
      </c>
      <c r="H724" s="9"/>
      <c r="I724" s="9">
        <v>1</v>
      </c>
    </row>
    <row r="725" spans="1:9" x14ac:dyDescent="0.25">
      <c r="A725" s="9">
        <v>4</v>
      </c>
      <c r="B725" s="9" t="s">
        <v>723</v>
      </c>
      <c r="C725" s="9" t="s">
        <v>25</v>
      </c>
      <c r="D725" s="9" t="s">
        <v>341</v>
      </c>
      <c r="E725" s="9" t="s">
        <v>342</v>
      </c>
      <c r="F725" s="9" t="s">
        <v>335</v>
      </c>
      <c r="G725" s="9">
        <v>0.1633</v>
      </c>
      <c r="H725" s="9"/>
      <c r="I725" s="9">
        <v>1</v>
      </c>
    </row>
    <row r="726" spans="1:9" x14ac:dyDescent="0.25">
      <c r="A726" s="10">
        <v>3</v>
      </c>
      <c r="B726" s="10" t="s">
        <v>237</v>
      </c>
      <c r="C726" s="10" t="s">
        <v>25</v>
      </c>
      <c r="D726" s="10" t="s">
        <v>235</v>
      </c>
      <c r="E726" s="10" t="s">
        <v>235</v>
      </c>
      <c r="F726" s="10" t="s">
        <v>236</v>
      </c>
      <c r="G726" s="10">
        <v>2.1868200000000001E-2</v>
      </c>
      <c r="H726" s="10"/>
      <c r="I726" s="10">
        <v>2</v>
      </c>
    </row>
    <row r="727" spans="1:9" x14ac:dyDescent="0.25">
      <c r="A727" s="10">
        <v>3</v>
      </c>
      <c r="B727" s="10" t="s">
        <v>1051</v>
      </c>
      <c r="C727" s="10" t="s">
        <v>25</v>
      </c>
      <c r="D727" s="10"/>
      <c r="E727" s="10" t="s">
        <v>462</v>
      </c>
      <c r="F727" s="10" t="s">
        <v>27</v>
      </c>
      <c r="G727" s="10"/>
      <c r="H727" s="10"/>
      <c r="I727" s="10">
        <v>2</v>
      </c>
    </row>
    <row r="728" spans="1:9" x14ac:dyDescent="0.25">
      <c r="A728" s="10">
        <v>3</v>
      </c>
      <c r="B728" s="10" t="s">
        <v>233</v>
      </c>
      <c r="C728" s="10" t="s">
        <v>25</v>
      </c>
      <c r="D728" s="10" t="s">
        <v>234</v>
      </c>
      <c r="E728" s="10" t="s">
        <v>235</v>
      </c>
      <c r="F728" s="10" t="s">
        <v>236</v>
      </c>
      <c r="G728" s="10">
        <v>8.4709199999999998E-3</v>
      </c>
      <c r="H728" s="10"/>
      <c r="I728" s="10">
        <v>2</v>
      </c>
    </row>
    <row r="729" spans="1:9" x14ac:dyDescent="0.25">
      <c r="A729" s="10">
        <v>3</v>
      </c>
      <c r="B729" s="10" t="s">
        <v>508</v>
      </c>
      <c r="C729" s="10" t="s">
        <v>25</v>
      </c>
      <c r="D729" s="10"/>
      <c r="E729" s="10" t="s">
        <v>464</v>
      </c>
      <c r="F729" s="10" t="s">
        <v>27</v>
      </c>
      <c r="G729" s="10"/>
      <c r="H729" s="10"/>
      <c r="I729" s="10">
        <v>2</v>
      </c>
    </row>
    <row r="730" spans="1:9" x14ac:dyDescent="0.25">
      <c r="A730" s="10">
        <v>3</v>
      </c>
      <c r="B730" s="10" t="s">
        <v>946</v>
      </c>
      <c r="C730" s="10" t="s">
        <v>25</v>
      </c>
      <c r="D730" s="10"/>
      <c r="E730" s="10" t="s">
        <v>947</v>
      </c>
      <c r="F730" s="10" t="s">
        <v>335</v>
      </c>
      <c r="G730" s="10"/>
      <c r="H730" s="10"/>
      <c r="I730" s="10">
        <v>4</v>
      </c>
    </row>
    <row r="731" spans="1:9" x14ac:dyDescent="0.25">
      <c r="A731" s="10">
        <v>3</v>
      </c>
      <c r="B731" s="10" t="s">
        <v>248</v>
      </c>
      <c r="C731" s="10" t="s">
        <v>25</v>
      </c>
      <c r="D731" s="10" t="s">
        <v>7</v>
      </c>
      <c r="E731" s="10" t="s">
        <v>7</v>
      </c>
      <c r="F731" s="10" t="s">
        <v>27</v>
      </c>
      <c r="G731" s="10">
        <v>1.29429E-3</v>
      </c>
      <c r="H731" s="10"/>
      <c r="I731" s="10">
        <v>6</v>
      </c>
    </row>
    <row r="732" spans="1:9" x14ac:dyDescent="0.25">
      <c r="A732" s="10">
        <v>3</v>
      </c>
      <c r="B732" s="10" t="s">
        <v>1052</v>
      </c>
      <c r="C732" s="10" t="s">
        <v>25</v>
      </c>
      <c r="D732" s="10"/>
      <c r="E732" s="10" t="s">
        <v>671</v>
      </c>
      <c r="F732" s="10" t="s">
        <v>27</v>
      </c>
      <c r="G732" s="10"/>
      <c r="H732" s="10"/>
      <c r="I732" s="10">
        <v>12</v>
      </c>
    </row>
    <row r="733" spans="1:9" x14ac:dyDescent="0.25">
      <c r="A733" s="10">
        <v>3</v>
      </c>
      <c r="B733" s="10" t="s">
        <v>8</v>
      </c>
      <c r="C733" s="10" t="s">
        <v>25</v>
      </c>
      <c r="D733" s="10"/>
      <c r="E733" s="10" t="s">
        <v>9</v>
      </c>
      <c r="F733" s="10" t="s">
        <v>27</v>
      </c>
      <c r="G733" s="10"/>
      <c r="H733" s="10"/>
      <c r="I733" s="10">
        <v>14</v>
      </c>
    </row>
    <row r="734" spans="1:9" x14ac:dyDescent="0.25">
      <c r="A734" s="10">
        <v>3</v>
      </c>
      <c r="B734" s="10" t="s">
        <v>1053</v>
      </c>
      <c r="C734" s="10" t="s">
        <v>131</v>
      </c>
      <c r="D734" s="10" t="s">
        <v>1054</v>
      </c>
      <c r="E734" s="10" t="s">
        <v>1054</v>
      </c>
      <c r="H734" s="10" t="s">
        <v>218</v>
      </c>
      <c r="I734" s="10">
        <v>1</v>
      </c>
    </row>
    <row r="735" spans="1:9" x14ac:dyDescent="0.25">
      <c r="A735" s="9">
        <v>4</v>
      </c>
      <c r="B735" s="9" t="s">
        <v>1055</v>
      </c>
      <c r="C735" s="9" t="s">
        <v>131</v>
      </c>
      <c r="D735" s="9"/>
      <c r="E735" s="9" t="s">
        <v>193</v>
      </c>
      <c r="F735" s="9" t="s">
        <v>335</v>
      </c>
      <c r="G735" s="9">
        <v>0.109212</v>
      </c>
      <c r="H735" s="9" t="s">
        <v>218</v>
      </c>
      <c r="I735" s="9">
        <v>1</v>
      </c>
    </row>
    <row r="736" spans="1:9" x14ac:dyDescent="0.25">
      <c r="A736" s="9">
        <v>4</v>
      </c>
      <c r="B736" s="9" t="s">
        <v>1056</v>
      </c>
      <c r="C736" s="9" t="s">
        <v>25</v>
      </c>
      <c r="D736" s="9"/>
      <c r="E736" s="9" t="s">
        <v>1057</v>
      </c>
      <c r="F736" s="9" t="s">
        <v>27</v>
      </c>
      <c r="G736" s="9"/>
      <c r="H736" s="9"/>
      <c r="I736" s="9">
        <v>3</v>
      </c>
    </row>
    <row r="737" spans="1:9" x14ac:dyDescent="0.25">
      <c r="A737" s="9">
        <v>4</v>
      </c>
      <c r="B737" s="9" t="s">
        <v>1058</v>
      </c>
      <c r="C737" s="9" t="s">
        <v>25</v>
      </c>
      <c r="D737" s="9" t="s">
        <v>631</v>
      </c>
      <c r="E737" s="9" t="s">
        <v>631</v>
      </c>
      <c r="F737" s="9" t="s">
        <v>101</v>
      </c>
      <c r="G737" s="14">
        <v>9.29983</v>
      </c>
      <c r="H737" s="9"/>
      <c r="I737" s="9">
        <v>6</v>
      </c>
    </row>
    <row r="738" spans="1:9" x14ac:dyDescent="0.25">
      <c r="A738" s="10">
        <v>3</v>
      </c>
      <c r="B738" s="10" t="s">
        <v>1059</v>
      </c>
      <c r="C738" s="10" t="s">
        <v>131</v>
      </c>
      <c r="D738" s="10" t="s">
        <v>1054</v>
      </c>
      <c r="E738" s="10" t="s">
        <v>1054</v>
      </c>
      <c r="H738" s="10" t="s">
        <v>218</v>
      </c>
      <c r="I738" s="10">
        <v>1</v>
      </c>
    </row>
    <row r="739" spans="1:9" x14ac:dyDescent="0.25">
      <c r="A739" s="9">
        <v>4</v>
      </c>
      <c r="B739" s="9" t="s">
        <v>1060</v>
      </c>
      <c r="C739" s="9" t="s">
        <v>131</v>
      </c>
      <c r="D739" s="9" t="s">
        <v>193</v>
      </c>
      <c r="E739" s="9" t="s">
        <v>193</v>
      </c>
      <c r="F739" s="9" t="s">
        <v>335</v>
      </c>
      <c r="G739" s="9">
        <v>1.24875E-2</v>
      </c>
      <c r="H739" s="9" t="s">
        <v>218</v>
      </c>
      <c r="I739" s="9">
        <v>1</v>
      </c>
    </row>
    <row r="740" spans="1:9" x14ac:dyDescent="0.25">
      <c r="A740" s="9">
        <v>4</v>
      </c>
      <c r="B740" s="9" t="s">
        <v>1056</v>
      </c>
      <c r="C740" s="9" t="s">
        <v>25</v>
      </c>
      <c r="D740" s="9"/>
      <c r="E740" s="9" t="s">
        <v>1057</v>
      </c>
      <c r="F740" s="9" t="s">
        <v>27</v>
      </c>
      <c r="G740" s="9"/>
      <c r="H740" s="9"/>
      <c r="I740" s="9">
        <v>3</v>
      </c>
    </row>
    <row r="741" spans="1:9" x14ac:dyDescent="0.25">
      <c r="A741" s="9">
        <v>4</v>
      </c>
      <c r="B741" s="9" t="s">
        <v>1058</v>
      </c>
      <c r="C741" s="9" t="s">
        <v>25</v>
      </c>
      <c r="D741" s="9" t="s">
        <v>631</v>
      </c>
      <c r="E741" s="9" t="s">
        <v>631</v>
      </c>
      <c r="F741" s="9" t="s">
        <v>101</v>
      </c>
      <c r="G741" s="14">
        <v>9.29983</v>
      </c>
      <c r="H741" s="9"/>
      <c r="I741" s="9">
        <v>6</v>
      </c>
    </row>
    <row r="742" spans="1:9" x14ac:dyDescent="0.25">
      <c r="A742" s="10">
        <v>3</v>
      </c>
      <c r="B742" s="10" t="s">
        <v>1061</v>
      </c>
      <c r="C742" s="10" t="s">
        <v>131</v>
      </c>
      <c r="D742" s="10" t="s">
        <v>1054</v>
      </c>
      <c r="E742" s="10" t="s">
        <v>1054</v>
      </c>
      <c r="H742" s="10" t="s">
        <v>218</v>
      </c>
      <c r="I742" s="10">
        <v>1</v>
      </c>
    </row>
    <row r="743" spans="1:9" x14ac:dyDescent="0.25">
      <c r="A743" s="9">
        <v>4</v>
      </c>
      <c r="B743" s="9" t="s">
        <v>1062</v>
      </c>
      <c r="C743" s="9" t="s">
        <v>131</v>
      </c>
      <c r="D743" s="9" t="s">
        <v>193</v>
      </c>
      <c r="E743" s="9" t="s">
        <v>193</v>
      </c>
      <c r="F743" s="9" t="s">
        <v>335</v>
      </c>
      <c r="G743" s="9">
        <v>0.109212</v>
      </c>
      <c r="H743" s="9" t="s">
        <v>218</v>
      </c>
      <c r="I743" s="9">
        <v>1</v>
      </c>
    </row>
    <row r="744" spans="1:9" x14ac:dyDescent="0.25">
      <c r="A744" s="9">
        <v>4</v>
      </c>
      <c r="B744" s="9" t="s">
        <v>1056</v>
      </c>
      <c r="C744" s="9" t="s">
        <v>25</v>
      </c>
      <c r="D744" s="9"/>
      <c r="E744" s="9" t="s">
        <v>1057</v>
      </c>
      <c r="F744" s="9" t="s">
        <v>27</v>
      </c>
      <c r="G744" s="9"/>
      <c r="H744" s="9"/>
      <c r="I744" s="9">
        <v>3</v>
      </c>
    </row>
    <row r="745" spans="1:9" x14ac:dyDescent="0.25">
      <c r="A745" s="10">
        <v>3</v>
      </c>
      <c r="B745" s="10" t="s">
        <v>1063</v>
      </c>
      <c r="C745" s="10" t="s">
        <v>29</v>
      </c>
      <c r="D745" s="10" t="s">
        <v>1064</v>
      </c>
      <c r="E745" s="10" t="s">
        <v>1064</v>
      </c>
      <c r="F745" s="10" t="s">
        <v>335</v>
      </c>
      <c r="G745" s="10">
        <v>3.1900699999999997E-2</v>
      </c>
      <c r="H745" s="10" t="s">
        <v>150</v>
      </c>
      <c r="I745" s="10">
        <v>1</v>
      </c>
    </row>
    <row r="746" spans="1:9" x14ac:dyDescent="0.25">
      <c r="A746" s="10">
        <v>3</v>
      </c>
      <c r="B746" s="10" t="s">
        <v>1065</v>
      </c>
      <c r="C746" s="10" t="s">
        <v>78</v>
      </c>
      <c r="D746" s="10" t="s">
        <v>1066</v>
      </c>
      <c r="E746" s="10" t="s">
        <v>1066</v>
      </c>
      <c r="F746" s="10" t="s">
        <v>169</v>
      </c>
      <c r="G746" s="10">
        <v>1.9222999999999999</v>
      </c>
      <c r="H746" s="10"/>
      <c r="I746" s="10">
        <v>1</v>
      </c>
    </row>
    <row r="747" spans="1:9" x14ac:dyDescent="0.25">
      <c r="A747" s="10">
        <v>3</v>
      </c>
      <c r="B747" s="10" t="s">
        <v>1067</v>
      </c>
      <c r="C747" s="10" t="s">
        <v>131</v>
      </c>
      <c r="D747" s="10" t="s">
        <v>1054</v>
      </c>
      <c r="E747" s="10" t="s">
        <v>1054</v>
      </c>
      <c r="H747" s="10" t="s">
        <v>218</v>
      </c>
      <c r="I747" s="10">
        <v>1</v>
      </c>
    </row>
    <row r="748" spans="1:9" x14ac:dyDescent="0.25">
      <c r="A748" s="9">
        <v>4</v>
      </c>
      <c r="B748" s="9" t="s">
        <v>1068</v>
      </c>
      <c r="C748" s="9" t="s">
        <v>131</v>
      </c>
      <c r="D748" s="9" t="s">
        <v>193</v>
      </c>
      <c r="E748" s="9" t="s">
        <v>193</v>
      </c>
      <c r="F748" s="9" t="s">
        <v>335</v>
      </c>
      <c r="G748" s="9">
        <v>1.0740599999999999E-2</v>
      </c>
      <c r="H748" s="9" t="s">
        <v>218</v>
      </c>
      <c r="I748" s="9">
        <v>1</v>
      </c>
    </row>
    <row r="749" spans="1:9" x14ac:dyDescent="0.25">
      <c r="A749" s="9">
        <v>4</v>
      </c>
      <c r="B749" s="9" t="s">
        <v>1069</v>
      </c>
      <c r="C749" s="9" t="s">
        <v>25</v>
      </c>
      <c r="D749" s="9"/>
      <c r="E749" s="9" t="s">
        <v>1070</v>
      </c>
      <c r="F749" s="9" t="s">
        <v>27</v>
      </c>
      <c r="G749" s="9"/>
      <c r="H749" s="9"/>
      <c r="I749" s="9">
        <v>2</v>
      </c>
    </row>
    <row r="750" spans="1:9" x14ac:dyDescent="0.25">
      <c r="A750" s="9">
        <v>4</v>
      </c>
      <c r="B750" s="9" t="s">
        <v>1056</v>
      </c>
      <c r="C750" s="9" t="s">
        <v>25</v>
      </c>
      <c r="D750" s="9"/>
      <c r="E750" s="9" t="s">
        <v>1057</v>
      </c>
      <c r="F750" s="9" t="s">
        <v>27</v>
      </c>
      <c r="G750" s="9"/>
      <c r="H750" s="9"/>
      <c r="I750" s="9">
        <v>2</v>
      </c>
    </row>
    <row r="751" spans="1:9" x14ac:dyDescent="0.25">
      <c r="A751" s="9">
        <v>4</v>
      </c>
      <c r="B751" s="9" t="s">
        <v>1058</v>
      </c>
      <c r="C751" s="9" t="s">
        <v>25</v>
      </c>
      <c r="D751" s="9" t="s">
        <v>631</v>
      </c>
      <c r="E751" s="9" t="s">
        <v>631</v>
      </c>
      <c r="F751" s="9" t="s">
        <v>101</v>
      </c>
      <c r="G751" s="14">
        <v>9.29983</v>
      </c>
      <c r="H751" s="9"/>
      <c r="I751" s="9">
        <v>8</v>
      </c>
    </row>
    <row r="752" spans="1:9" x14ac:dyDescent="0.25">
      <c r="A752" s="10">
        <v>3</v>
      </c>
      <c r="B752" s="10" t="s">
        <v>1071</v>
      </c>
      <c r="C752" s="10" t="s">
        <v>131</v>
      </c>
      <c r="D752" s="10" t="s">
        <v>1054</v>
      </c>
      <c r="E752" s="10" t="s">
        <v>1054</v>
      </c>
      <c r="H752" s="10" t="s">
        <v>218</v>
      </c>
      <c r="I752" s="10">
        <v>1</v>
      </c>
    </row>
    <row r="753" spans="1:9" x14ac:dyDescent="0.25">
      <c r="A753" s="9">
        <v>4</v>
      </c>
      <c r="B753" s="9" t="s">
        <v>1072</v>
      </c>
      <c r="C753" s="9" t="s">
        <v>131</v>
      </c>
      <c r="D753" s="9" t="s">
        <v>193</v>
      </c>
      <c r="E753" s="9" t="s">
        <v>193</v>
      </c>
      <c r="F753" s="9" t="s">
        <v>335</v>
      </c>
      <c r="G753" s="9">
        <v>1.08562E-2</v>
      </c>
      <c r="H753" s="9" t="s">
        <v>218</v>
      </c>
      <c r="I753" s="9">
        <v>1</v>
      </c>
    </row>
    <row r="754" spans="1:9" x14ac:dyDescent="0.25">
      <c r="A754" s="9">
        <v>4</v>
      </c>
      <c r="B754" s="9" t="s">
        <v>1069</v>
      </c>
      <c r="C754" s="9" t="s">
        <v>25</v>
      </c>
      <c r="D754" s="9"/>
      <c r="E754" s="9" t="s">
        <v>1070</v>
      </c>
      <c r="F754" s="9" t="s">
        <v>27</v>
      </c>
      <c r="G754" s="9"/>
      <c r="H754" s="9"/>
      <c r="I754" s="9">
        <v>2</v>
      </c>
    </row>
    <row r="755" spans="1:9" x14ac:dyDescent="0.25">
      <c r="A755" s="9">
        <v>4</v>
      </c>
      <c r="B755" s="9" t="s">
        <v>1058</v>
      </c>
      <c r="C755" s="9" t="s">
        <v>25</v>
      </c>
      <c r="D755" s="9" t="s">
        <v>631</v>
      </c>
      <c r="E755" s="9" t="s">
        <v>631</v>
      </c>
      <c r="F755" s="9" t="s">
        <v>101</v>
      </c>
      <c r="G755" s="14">
        <v>9.29983</v>
      </c>
      <c r="H755" s="9"/>
      <c r="I755" s="9">
        <v>4</v>
      </c>
    </row>
    <row r="756" spans="1:9" x14ac:dyDescent="0.25">
      <c r="A756" s="9">
        <v>2</v>
      </c>
      <c r="B756" s="9" t="s">
        <v>1073</v>
      </c>
      <c r="C756" s="9" t="s">
        <v>35</v>
      </c>
      <c r="D756" s="9" t="s">
        <v>1074</v>
      </c>
      <c r="E756" s="9" t="s">
        <v>1074</v>
      </c>
      <c r="H756" s="9"/>
      <c r="I756" s="9">
        <v>1</v>
      </c>
    </row>
    <row r="757" spans="1:9" x14ac:dyDescent="0.25">
      <c r="A757" s="10">
        <v>3</v>
      </c>
      <c r="B757" s="10" t="s">
        <v>1005</v>
      </c>
      <c r="C757" s="10" t="s">
        <v>25</v>
      </c>
      <c r="D757" s="10"/>
      <c r="E757" s="10" t="s">
        <v>1006</v>
      </c>
      <c r="F757" s="10" t="s">
        <v>27</v>
      </c>
      <c r="G757" s="10"/>
      <c r="H757" s="10"/>
      <c r="I757" s="10">
        <v>1</v>
      </c>
    </row>
    <row r="758" spans="1:9" x14ac:dyDescent="0.25">
      <c r="A758" s="10">
        <v>3</v>
      </c>
      <c r="B758" s="10" t="s">
        <v>1007</v>
      </c>
      <c r="C758" s="10" t="s">
        <v>25</v>
      </c>
      <c r="D758" s="10"/>
      <c r="E758" s="10" t="s">
        <v>1008</v>
      </c>
      <c r="F758" s="10" t="s">
        <v>27</v>
      </c>
      <c r="G758" s="10"/>
      <c r="H758" s="10"/>
      <c r="I758" s="10">
        <v>1</v>
      </c>
    </row>
    <row r="759" spans="1:9" x14ac:dyDescent="0.25">
      <c r="A759" s="10">
        <v>3</v>
      </c>
      <c r="B759" s="10" t="s">
        <v>1009</v>
      </c>
      <c r="C759" s="10" t="s">
        <v>25</v>
      </c>
      <c r="D759" s="10" t="s">
        <v>1010</v>
      </c>
      <c r="E759" s="10" t="s">
        <v>1010</v>
      </c>
      <c r="F759" s="10"/>
      <c r="G759" s="10">
        <v>0</v>
      </c>
      <c r="H759" s="10"/>
      <c r="I759" s="10">
        <v>1</v>
      </c>
    </row>
    <row r="760" spans="1:9" ht="180" x14ac:dyDescent="0.25">
      <c r="A760" s="10">
        <v>3</v>
      </c>
      <c r="B760" s="10" t="s">
        <v>1011</v>
      </c>
      <c r="C760" s="10" t="s">
        <v>25</v>
      </c>
      <c r="D760" s="12" t="s">
        <v>1012</v>
      </c>
      <c r="E760" s="10" t="s">
        <v>1013</v>
      </c>
      <c r="F760" s="10" t="s">
        <v>27</v>
      </c>
      <c r="G760" s="10">
        <v>1.7323099999999999E-3</v>
      </c>
      <c r="H760" s="10"/>
      <c r="I760" s="10">
        <v>1</v>
      </c>
    </row>
    <row r="761" spans="1:9" x14ac:dyDescent="0.25">
      <c r="A761" s="10">
        <v>3</v>
      </c>
      <c r="B761" s="10" t="s">
        <v>1075</v>
      </c>
      <c r="C761" s="10" t="s">
        <v>35</v>
      </c>
      <c r="D761" s="10" t="s">
        <v>1016</v>
      </c>
      <c r="E761" s="10" t="s">
        <v>1016</v>
      </c>
      <c r="H761" s="10"/>
      <c r="I761" s="10">
        <v>1</v>
      </c>
    </row>
    <row r="762" spans="1:9" x14ac:dyDescent="0.25">
      <c r="A762" s="9">
        <v>4</v>
      </c>
      <c r="B762" s="9" t="s">
        <v>1076</v>
      </c>
      <c r="C762" s="9" t="s">
        <v>35</v>
      </c>
      <c r="D762" s="9"/>
      <c r="E762" s="9" t="s">
        <v>1018</v>
      </c>
      <c r="H762" s="9"/>
      <c r="I762" s="9">
        <v>1</v>
      </c>
    </row>
    <row r="763" spans="1:9" x14ac:dyDescent="0.25">
      <c r="A763" s="10">
        <v>5</v>
      </c>
      <c r="B763" s="10" t="s">
        <v>1077</v>
      </c>
      <c r="C763" s="10" t="s">
        <v>35</v>
      </c>
      <c r="D763" s="10" t="s">
        <v>1020</v>
      </c>
      <c r="E763" s="10" t="s">
        <v>1078</v>
      </c>
      <c r="F763" s="10" t="s">
        <v>45</v>
      </c>
      <c r="G763" s="10">
        <v>5.986E-3</v>
      </c>
      <c r="H763" s="10"/>
      <c r="I763" s="10">
        <v>1</v>
      </c>
    </row>
    <row r="764" spans="1:9" x14ac:dyDescent="0.25">
      <c r="A764" s="10">
        <v>5</v>
      </c>
      <c r="B764" s="10" t="s">
        <v>49</v>
      </c>
      <c r="C764" s="10" t="s">
        <v>25</v>
      </c>
      <c r="D764" s="10" t="s">
        <v>50</v>
      </c>
      <c r="E764" s="10" t="s">
        <v>50</v>
      </c>
      <c r="F764" s="10" t="s">
        <v>27</v>
      </c>
      <c r="G764" s="10"/>
      <c r="H764" s="10"/>
      <c r="I764" s="10">
        <v>3</v>
      </c>
    </row>
    <row r="765" spans="1:9" x14ac:dyDescent="0.25">
      <c r="A765" s="10">
        <v>5</v>
      </c>
      <c r="B765" s="10" t="s">
        <v>51</v>
      </c>
      <c r="C765" s="10" t="s">
        <v>25</v>
      </c>
      <c r="D765" s="10" t="s">
        <v>52</v>
      </c>
      <c r="E765" s="10" t="s">
        <v>52</v>
      </c>
      <c r="F765" s="10" t="s">
        <v>27</v>
      </c>
      <c r="G765" s="10"/>
      <c r="H765" s="10"/>
      <c r="I765" s="10">
        <v>4</v>
      </c>
    </row>
    <row r="766" spans="1:9" x14ac:dyDescent="0.25">
      <c r="A766" s="9">
        <v>4</v>
      </c>
      <c r="B766" s="9" t="s">
        <v>1079</v>
      </c>
      <c r="C766" s="9" t="s">
        <v>35</v>
      </c>
      <c r="D766" s="9"/>
      <c r="E766" s="9" t="s">
        <v>1028</v>
      </c>
      <c r="H766" s="9"/>
      <c r="I766" s="9">
        <v>1</v>
      </c>
    </row>
    <row r="767" spans="1:9" x14ac:dyDescent="0.25">
      <c r="A767" s="10">
        <v>5</v>
      </c>
      <c r="B767" s="10" t="s">
        <v>1080</v>
      </c>
      <c r="C767" s="10" t="s">
        <v>35</v>
      </c>
      <c r="D767" s="10" t="s">
        <v>1081</v>
      </c>
      <c r="E767" s="10" t="s">
        <v>1081</v>
      </c>
      <c r="F767" s="10" t="s">
        <v>80</v>
      </c>
      <c r="G767" s="10">
        <v>0.57774300000000001</v>
      </c>
      <c r="H767" s="10"/>
      <c r="I767" s="10">
        <v>1</v>
      </c>
    </row>
    <row r="768" spans="1:9" x14ac:dyDescent="0.25">
      <c r="A768" s="10">
        <v>5</v>
      </c>
      <c r="B768" s="10" t="s">
        <v>84</v>
      </c>
      <c r="C768" s="10" t="s">
        <v>25</v>
      </c>
      <c r="D768" s="10" t="s">
        <v>50</v>
      </c>
      <c r="E768" s="10" t="s">
        <v>50</v>
      </c>
      <c r="F768" s="10" t="s">
        <v>27</v>
      </c>
      <c r="G768" s="10"/>
      <c r="H768" s="10"/>
      <c r="I768" s="10">
        <v>6</v>
      </c>
    </row>
    <row r="769" spans="1:9" x14ac:dyDescent="0.25">
      <c r="A769" s="9">
        <v>4</v>
      </c>
      <c r="B769" s="9" t="s">
        <v>1082</v>
      </c>
      <c r="C769" s="9" t="s">
        <v>35</v>
      </c>
      <c r="D769" s="9"/>
      <c r="E769" s="9" t="s">
        <v>1023</v>
      </c>
      <c r="H769" s="9"/>
      <c r="I769" s="9">
        <v>1</v>
      </c>
    </row>
    <row r="770" spans="1:9" x14ac:dyDescent="0.25">
      <c r="A770" s="10">
        <v>5</v>
      </c>
      <c r="B770" s="10" t="s">
        <v>1083</v>
      </c>
      <c r="C770" s="10" t="s">
        <v>35</v>
      </c>
      <c r="D770" s="10" t="s">
        <v>1084</v>
      </c>
      <c r="E770" s="10" t="s">
        <v>1025</v>
      </c>
      <c r="F770" s="10" t="s">
        <v>1026</v>
      </c>
      <c r="G770" s="10">
        <v>0</v>
      </c>
      <c r="H770" s="10"/>
      <c r="I770" s="10">
        <v>1</v>
      </c>
    </row>
    <row r="771" spans="1:9" x14ac:dyDescent="0.25">
      <c r="A771" s="10">
        <v>5</v>
      </c>
      <c r="B771" s="10" t="s">
        <v>318</v>
      </c>
      <c r="C771" s="10" t="s">
        <v>25</v>
      </c>
      <c r="D771" s="10"/>
      <c r="E771" s="10" t="s">
        <v>62</v>
      </c>
      <c r="F771" s="10" t="s">
        <v>27</v>
      </c>
      <c r="G771" s="10"/>
      <c r="H771" s="10"/>
      <c r="I771" s="10">
        <v>4</v>
      </c>
    </row>
    <row r="772" spans="1:9" x14ac:dyDescent="0.25">
      <c r="A772" s="9">
        <v>4</v>
      </c>
      <c r="B772" s="9" t="s">
        <v>1085</v>
      </c>
      <c r="C772" s="9" t="s">
        <v>35</v>
      </c>
      <c r="D772" s="9"/>
      <c r="E772" s="9" t="s">
        <v>1018</v>
      </c>
      <c r="H772" s="9"/>
      <c r="I772" s="9">
        <v>1</v>
      </c>
    </row>
    <row r="773" spans="1:9" x14ac:dyDescent="0.25">
      <c r="A773" s="10">
        <v>5</v>
      </c>
      <c r="B773" s="10" t="s">
        <v>1086</v>
      </c>
      <c r="C773" s="10" t="s">
        <v>35</v>
      </c>
      <c r="D773" s="10" t="s">
        <v>1020</v>
      </c>
      <c r="E773" s="10" t="s">
        <v>1078</v>
      </c>
      <c r="F773" s="10" t="s">
        <v>45</v>
      </c>
      <c r="G773" s="10">
        <v>6.6645200000000002E-3</v>
      </c>
      <c r="H773" s="10"/>
      <c r="I773" s="10">
        <v>1</v>
      </c>
    </row>
    <row r="774" spans="1:9" x14ac:dyDescent="0.25">
      <c r="A774" s="10">
        <v>5</v>
      </c>
      <c r="B774" s="10" t="s">
        <v>49</v>
      </c>
      <c r="C774" s="10" t="s">
        <v>25</v>
      </c>
      <c r="D774" s="10" t="s">
        <v>50</v>
      </c>
      <c r="E774" s="10" t="s">
        <v>50</v>
      </c>
      <c r="F774" s="10" t="s">
        <v>27</v>
      </c>
      <c r="G774" s="10"/>
      <c r="H774" s="10"/>
      <c r="I774" s="10">
        <v>3</v>
      </c>
    </row>
    <row r="775" spans="1:9" x14ac:dyDescent="0.25">
      <c r="A775" s="10">
        <v>3</v>
      </c>
      <c r="B775" s="10" t="s">
        <v>1087</v>
      </c>
      <c r="C775" s="10" t="s">
        <v>35</v>
      </c>
      <c r="D775" s="10" t="s">
        <v>1088</v>
      </c>
      <c r="E775" s="10" t="s">
        <v>1088</v>
      </c>
      <c r="F775" s="10" t="s">
        <v>1035</v>
      </c>
      <c r="G775" s="10">
        <v>0.16906199999999999</v>
      </c>
      <c r="H775" s="10"/>
      <c r="I775" s="10">
        <v>1</v>
      </c>
    </row>
    <row r="776" spans="1:9" x14ac:dyDescent="0.25">
      <c r="A776" s="10">
        <v>3</v>
      </c>
      <c r="B776" s="10" t="s">
        <v>1036</v>
      </c>
      <c r="C776" s="10" t="s">
        <v>25</v>
      </c>
      <c r="D776" s="10" t="s">
        <v>1037</v>
      </c>
      <c r="E776" s="10" t="s">
        <v>1037</v>
      </c>
      <c r="H776" s="10"/>
      <c r="I776" s="10">
        <v>1</v>
      </c>
    </row>
    <row r="777" spans="1:9" x14ac:dyDescent="0.25">
      <c r="A777" s="9">
        <v>4</v>
      </c>
      <c r="B777" s="9" t="s">
        <v>1038</v>
      </c>
      <c r="C777" s="9" t="s">
        <v>25</v>
      </c>
      <c r="D777" s="9" t="s">
        <v>1039</v>
      </c>
      <c r="E777" s="9" t="s">
        <v>1039</v>
      </c>
      <c r="F777" s="9" t="s">
        <v>578</v>
      </c>
      <c r="G777" s="9">
        <v>4.94832E-3</v>
      </c>
      <c r="H777" s="9"/>
      <c r="I777" s="9">
        <v>1</v>
      </c>
    </row>
    <row r="778" spans="1:9" x14ac:dyDescent="0.25">
      <c r="A778" s="9">
        <v>4</v>
      </c>
      <c r="B778" s="9" t="s">
        <v>49</v>
      </c>
      <c r="C778" s="9" t="s">
        <v>25</v>
      </c>
      <c r="D778" s="9" t="s">
        <v>50</v>
      </c>
      <c r="E778" s="9" t="s">
        <v>50</v>
      </c>
      <c r="F778" s="9" t="s">
        <v>27</v>
      </c>
      <c r="G778" s="9"/>
      <c r="H778" s="9"/>
      <c r="I778" s="9">
        <v>4</v>
      </c>
    </row>
    <row r="779" spans="1:9" x14ac:dyDescent="0.25">
      <c r="A779" s="10">
        <v>3</v>
      </c>
      <c r="B779" s="10" t="s">
        <v>1040</v>
      </c>
      <c r="C779" s="10" t="s">
        <v>25</v>
      </c>
      <c r="D779" s="10" t="s">
        <v>239</v>
      </c>
      <c r="E779" s="10" t="s">
        <v>239</v>
      </c>
      <c r="F779" s="10" t="s">
        <v>942</v>
      </c>
      <c r="G779" s="10">
        <v>4.4190599999999998E-3</v>
      </c>
      <c r="H779" s="10"/>
      <c r="I779" s="10">
        <v>1</v>
      </c>
    </row>
    <row r="780" spans="1:9" x14ac:dyDescent="0.25">
      <c r="A780" s="10">
        <v>3</v>
      </c>
      <c r="B780" s="10" t="s">
        <v>1041</v>
      </c>
      <c r="C780" s="10" t="s">
        <v>25</v>
      </c>
      <c r="D780" s="10" t="s">
        <v>1042</v>
      </c>
      <c r="E780" s="10" t="s">
        <v>1042</v>
      </c>
      <c r="H780" s="10"/>
      <c r="I780" s="10">
        <v>1</v>
      </c>
    </row>
    <row r="781" spans="1:9" x14ac:dyDescent="0.25">
      <c r="A781" s="9">
        <v>4</v>
      </c>
      <c r="B781" s="9" t="s">
        <v>1043</v>
      </c>
      <c r="C781" s="9" t="s">
        <v>25</v>
      </c>
      <c r="D781" s="9" t="s">
        <v>1044</v>
      </c>
      <c r="E781" s="9" t="s">
        <v>1044</v>
      </c>
      <c r="F781" s="9"/>
      <c r="G781" s="9">
        <v>0</v>
      </c>
      <c r="H781" s="9"/>
      <c r="I781" s="9">
        <v>1</v>
      </c>
    </row>
    <row r="782" spans="1:9" x14ac:dyDescent="0.25">
      <c r="A782" s="9">
        <v>4</v>
      </c>
      <c r="B782" s="9" t="s">
        <v>1045</v>
      </c>
      <c r="C782" s="9" t="s">
        <v>25</v>
      </c>
      <c r="D782" s="9" t="s">
        <v>1046</v>
      </c>
      <c r="E782" s="9" t="s">
        <v>1046</v>
      </c>
      <c r="F782" s="9"/>
      <c r="G782" s="9">
        <v>0</v>
      </c>
      <c r="H782" s="9"/>
      <c r="I782" s="9">
        <v>1</v>
      </c>
    </row>
    <row r="783" spans="1:9" x14ac:dyDescent="0.25">
      <c r="A783" s="10">
        <v>3</v>
      </c>
      <c r="B783" s="10" t="s">
        <v>1047</v>
      </c>
      <c r="C783" s="10" t="s">
        <v>25</v>
      </c>
      <c r="D783" s="10"/>
      <c r="E783" s="10" t="s">
        <v>1048</v>
      </c>
      <c r="F783" s="10" t="s">
        <v>335</v>
      </c>
      <c r="G783" s="10"/>
      <c r="H783" s="10"/>
      <c r="I783" s="10">
        <v>1</v>
      </c>
    </row>
    <row r="784" spans="1:9" x14ac:dyDescent="0.25">
      <c r="A784" s="10">
        <v>3</v>
      </c>
      <c r="B784" s="10" t="s">
        <v>1049</v>
      </c>
      <c r="C784" s="10" t="s">
        <v>25</v>
      </c>
      <c r="D784" s="10"/>
      <c r="E784" s="10" t="s">
        <v>1050</v>
      </c>
      <c r="F784" s="10" t="s">
        <v>27</v>
      </c>
      <c r="G784" s="10"/>
      <c r="H784" s="10"/>
      <c r="I784" s="10">
        <v>1</v>
      </c>
    </row>
    <row r="785" spans="1:9" x14ac:dyDescent="0.25">
      <c r="A785" s="10">
        <v>3</v>
      </c>
      <c r="B785" s="10" t="s">
        <v>719</v>
      </c>
      <c r="C785" s="10" t="s">
        <v>25</v>
      </c>
      <c r="D785" s="10" t="s">
        <v>332</v>
      </c>
      <c r="E785" s="10" t="s">
        <v>332</v>
      </c>
      <c r="H785" s="10"/>
      <c r="I785" s="10">
        <v>2</v>
      </c>
    </row>
    <row r="786" spans="1:9" x14ac:dyDescent="0.25">
      <c r="A786" s="9">
        <v>4</v>
      </c>
      <c r="B786" s="9" t="s">
        <v>720</v>
      </c>
      <c r="C786" s="9" t="s">
        <v>25</v>
      </c>
      <c r="D786" s="9" t="s">
        <v>334</v>
      </c>
      <c r="E786" s="9" t="s">
        <v>334</v>
      </c>
      <c r="F786" s="9" t="s">
        <v>335</v>
      </c>
      <c r="G786" s="9">
        <v>0.45253199999999999</v>
      </c>
      <c r="H786" s="9"/>
      <c r="I786" s="9">
        <v>1</v>
      </c>
    </row>
    <row r="787" spans="1:9" x14ac:dyDescent="0.25">
      <c r="A787" s="9">
        <v>4</v>
      </c>
      <c r="B787" s="9" t="s">
        <v>721</v>
      </c>
      <c r="C787" s="9" t="s">
        <v>25</v>
      </c>
      <c r="D787" s="9" t="s">
        <v>337</v>
      </c>
      <c r="E787" s="9" t="s">
        <v>337</v>
      </c>
      <c r="F787" s="9" t="s">
        <v>335</v>
      </c>
      <c r="G787" s="9">
        <v>0.42641299999999999</v>
      </c>
      <c r="H787" s="9"/>
      <c r="I787" s="9">
        <v>1</v>
      </c>
    </row>
    <row r="788" spans="1:9" x14ac:dyDescent="0.25">
      <c r="A788" s="9">
        <v>4</v>
      </c>
      <c r="B788" s="9" t="s">
        <v>722</v>
      </c>
      <c r="C788" s="9" t="s">
        <v>25</v>
      </c>
      <c r="D788" s="9" t="s">
        <v>339</v>
      </c>
      <c r="E788" s="9" t="s">
        <v>339</v>
      </c>
      <c r="F788" s="9" t="s">
        <v>335</v>
      </c>
      <c r="G788" s="9">
        <v>0.85629699999999997</v>
      </c>
      <c r="H788" s="9"/>
      <c r="I788" s="9">
        <v>1</v>
      </c>
    </row>
    <row r="789" spans="1:9" x14ac:dyDescent="0.25">
      <c r="A789" s="9">
        <v>4</v>
      </c>
      <c r="B789" s="9" t="s">
        <v>723</v>
      </c>
      <c r="C789" s="9" t="s">
        <v>25</v>
      </c>
      <c r="D789" s="9" t="s">
        <v>341</v>
      </c>
      <c r="E789" s="9" t="s">
        <v>342</v>
      </c>
      <c r="F789" s="9" t="s">
        <v>335</v>
      </c>
      <c r="G789" s="9">
        <v>0.1633</v>
      </c>
      <c r="H789" s="9"/>
      <c r="I789" s="9">
        <v>1</v>
      </c>
    </row>
    <row r="790" spans="1:9" x14ac:dyDescent="0.25">
      <c r="A790" s="10">
        <v>3</v>
      </c>
      <c r="B790" s="10" t="s">
        <v>237</v>
      </c>
      <c r="C790" s="10" t="s">
        <v>25</v>
      </c>
      <c r="D790" s="10" t="s">
        <v>235</v>
      </c>
      <c r="E790" s="10" t="s">
        <v>235</v>
      </c>
      <c r="F790" s="10" t="s">
        <v>236</v>
      </c>
      <c r="G790" s="10">
        <v>2.1868200000000001E-2</v>
      </c>
      <c r="H790" s="10"/>
      <c r="I790" s="10">
        <v>2</v>
      </c>
    </row>
    <row r="791" spans="1:9" x14ac:dyDescent="0.25">
      <c r="A791" s="10">
        <v>3</v>
      </c>
      <c r="B791" s="10" t="s">
        <v>1051</v>
      </c>
      <c r="C791" s="10" t="s">
        <v>25</v>
      </c>
      <c r="D791" s="10"/>
      <c r="E791" s="10" t="s">
        <v>462</v>
      </c>
      <c r="F791" s="10" t="s">
        <v>27</v>
      </c>
      <c r="G791" s="10"/>
      <c r="H791" s="10"/>
      <c r="I791" s="10">
        <v>2</v>
      </c>
    </row>
    <row r="792" spans="1:9" x14ac:dyDescent="0.25">
      <c r="A792" s="10">
        <v>3</v>
      </c>
      <c r="B792" s="10" t="s">
        <v>233</v>
      </c>
      <c r="C792" s="10" t="s">
        <v>25</v>
      </c>
      <c r="D792" s="10" t="s">
        <v>234</v>
      </c>
      <c r="E792" s="10" t="s">
        <v>235</v>
      </c>
      <c r="F792" s="10" t="s">
        <v>236</v>
      </c>
      <c r="G792" s="10">
        <v>8.4709199999999998E-3</v>
      </c>
      <c r="H792" s="10"/>
      <c r="I792" s="10">
        <v>2</v>
      </c>
    </row>
    <row r="793" spans="1:9" x14ac:dyDescent="0.25">
      <c r="A793" s="10">
        <v>3</v>
      </c>
      <c r="B793" s="10" t="s">
        <v>508</v>
      </c>
      <c r="C793" s="10" t="s">
        <v>25</v>
      </c>
      <c r="D793" s="10"/>
      <c r="E793" s="10" t="s">
        <v>464</v>
      </c>
      <c r="F793" s="10" t="s">
        <v>27</v>
      </c>
      <c r="G793" s="10"/>
      <c r="H793" s="10"/>
      <c r="I793" s="10">
        <v>2</v>
      </c>
    </row>
    <row r="794" spans="1:9" x14ac:dyDescent="0.25">
      <c r="A794" s="10">
        <v>3</v>
      </c>
      <c r="B794" s="10" t="s">
        <v>946</v>
      </c>
      <c r="C794" s="10" t="s">
        <v>25</v>
      </c>
      <c r="D794" s="10"/>
      <c r="E794" s="10" t="s">
        <v>947</v>
      </c>
      <c r="F794" s="10" t="s">
        <v>335</v>
      </c>
      <c r="G794" s="10"/>
      <c r="H794" s="10"/>
      <c r="I794" s="10">
        <v>4</v>
      </c>
    </row>
    <row r="795" spans="1:9" x14ac:dyDescent="0.25">
      <c r="A795" s="10">
        <v>3</v>
      </c>
      <c r="B795" s="10" t="s">
        <v>248</v>
      </c>
      <c r="C795" s="10" t="s">
        <v>25</v>
      </c>
      <c r="D795" s="10" t="s">
        <v>7</v>
      </c>
      <c r="E795" s="10" t="s">
        <v>7</v>
      </c>
      <c r="F795" s="10" t="s">
        <v>27</v>
      </c>
      <c r="G795" s="10">
        <v>1.29429E-3</v>
      </c>
      <c r="H795" s="10"/>
      <c r="I795" s="10">
        <v>6</v>
      </c>
    </row>
    <row r="796" spans="1:9" x14ac:dyDescent="0.25">
      <c r="A796" s="10">
        <v>3</v>
      </c>
      <c r="B796" s="10" t="s">
        <v>1052</v>
      </c>
      <c r="C796" s="10" t="s">
        <v>25</v>
      </c>
      <c r="D796" s="10"/>
      <c r="E796" s="10" t="s">
        <v>671</v>
      </c>
      <c r="F796" s="10" t="s">
        <v>27</v>
      </c>
      <c r="G796" s="10"/>
      <c r="H796" s="10"/>
      <c r="I796" s="10">
        <v>12</v>
      </c>
    </row>
    <row r="797" spans="1:9" x14ac:dyDescent="0.25">
      <c r="A797" s="10">
        <v>3</v>
      </c>
      <c r="B797" s="10" t="s">
        <v>8</v>
      </c>
      <c r="C797" s="10" t="s">
        <v>25</v>
      </c>
      <c r="D797" s="10"/>
      <c r="E797" s="10" t="s">
        <v>9</v>
      </c>
      <c r="F797" s="10" t="s">
        <v>27</v>
      </c>
      <c r="G797" s="10"/>
      <c r="H797" s="10"/>
      <c r="I797" s="10">
        <v>14</v>
      </c>
    </row>
    <row r="798" spans="1:9" x14ac:dyDescent="0.25">
      <c r="A798" s="10">
        <v>3</v>
      </c>
      <c r="B798" s="10" t="s">
        <v>1053</v>
      </c>
      <c r="C798" s="10" t="s">
        <v>131</v>
      </c>
      <c r="D798" s="10" t="s">
        <v>1054</v>
      </c>
      <c r="E798" s="10" t="s">
        <v>1054</v>
      </c>
      <c r="H798" s="10" t="s">
        <v>218</v>
      </c>
      <c r="I798" s="10">
        <v>1</v>
      </c>
    </row>
    <row r="799" spans="1:9" x14ac:dyDescent="0.25">
      <c r="A799" s="9">
        <v>4</v>
      </c>
      <c r="B799" s="9" t="s">
        <v>1055</v>
      </c>
      <c r="C799" s="9" t="s">
        <v>131</v>
      </c>
      <c r="D799" s="9"/>
      <c r="E799" s="9" t="s">
        <v>193</v>
      </c>
      <c r="F799" s="9" t="s">
        <v>335</v>
      </c>
      <c r="G799" s="9">
        <v>0.109212</v>
      </c>
      <c r="H799" s="9" t="s">
        <v>218</v>
      </c>
      <c r="I799" s="9">
        <v>1</v>
      </c>
    </row>
    <row r="800" spans="1:9" x14ac:dyDescent="0.25">
      <c r="A800" s="9">
        <v>4</v>
      </c>
      <c r="B800" s="9" t="s">
        <v>1056</v>
      </c>
      <c r="C800" s="9" t="s">
        <v>25</v>
      </c>
      <c r="D800" s="9"/>
      <c r="E800" s="9" t="s">
        <v>1057</v>
      </c>
      <c r="F800" s="9" t="s">
        <v>27</v>
      </c>
      <c r="G800" s="9"/>
      <c r="H800" s="9"/>
      <c r="I800" s="9">
        <v>3</v>
      </c>
    </row>
    <row r="801" spans="1:9" x14ac:dyDescent="0.25">
      <c r="A801" s="9">
        <v>4</v>
      </c>
      <c r="B801" s="9" t="s">
        <v>1058</v>
      </c>
      <c r="C801" s="9" t="s">
        <v>25</v>
      </c>
      <c r="D801" s="9" t="s">
        <v>631</v>
      </c>
      <c r="E801" s="9" t="s">
        <v>631</v>
      </c>
      <c r="F801" s="9" t="s">
        <v>101</v>
      </c>
      <c r="G801" s="14">
        <v>9.29983</v>
      </c>
      <c r="H801" s="9"/>
      <c r="I801" s="9">
        <v>6</v>
      </c>
    </row>
    <row r="802" spans="1:9" x14ac:dyDescent="0.25">
      <c r="A802" s="10">
        <v>3</v>
      </c>
      <c r="B802" s="10" t="s">
        <v>1059</v>
      </c>
      <c r="C802" s="10" t="s">
        <v>131</v>
      </c>
      <c r="D802" s="10" t="s">
        <v>1054</v>
      </c>
      <c r="E802" s="10" t="s">
        <v>1054</v>
      </c>
      <c r="H802" s="10" t="s">
        <v>218</v>
      </c>
      <c r="I802" s="10">
        <v>1</v>
      </c>
    </row>
    <row r="803" spans="1:9" x14ac:dyDescent="0.25">
      <c r="A803" s="9">
        <v>4</v>
      </c>
      <c r="B803" s="9" t="s">
        <v>1060</v>
      </c>
      <c r="C803" s="9" t="s">
        <v>131</v>
      </c>
      <c r="D803" s="9" t="s">
        <v>193</v>
      </c>
      <c r="E803" s="9" t="s">
        <v>193</v>
      </c>
      <c r="F803" s="9" t="s">
        <v>335</v>
      </c>
      <c r="G803" s="9">
        <v>1.24875E-2</v>
      </c>
      <c r="H803" s="9" t="s">
        <v>218</v>
      </c>
      <c r="I803" s="9">
        <v>1</v>
      </c>
    </row>
    <row r="804" spans="1:9" x14ac:dyDescent="0.25">
      <c r="A804" s="9">
        <v>4</v>
      </c>
      <c r="B804" s="9" t="s">
        <v>1056</v>
      </c>
      <c r="C804" s="9" t="s">
        <v>25</v>
      </c>
      <c r="D804" s="9"/>
      <c r="E804" s="9" t="s">
        <v>1057</v>
      </c>
      <c r="F804" s="9" t="s">
        <v>27</v>
      </c>
      <c r="G804" s="9"/>
      <c r="H804" s="9"/>
      <c r="I804" s="9">
        <v>3</v>
      </c>
    </row>
    <row r="805" spans="1:9" x14ac:dyDescent="0.25">
      <c r="A805" s="9">
        <v>4</v>
      </c>
      <c r="B805" s="9" t="s">
        <v>1058</v>
      </c>
      <c r="C805" s="9" t="s">
        <v>25</v>
      </c>
      <c r="D805" s="9" t="s">
        <v>631</v>
      </c>
      <c r="E805" s="9" t="s">
        <v>631</v>
      </c>
      <c r="F805" s="9" t="s">
        <v>101</v>
      </c>
      <c r="G805" s="14">
        <v>9.29983</v>
      </c>
      <c r="H805" s="9"/>
      <c r="I805" s="9">
        <v>6</v>
      </c>
    </row>
    <row r="806" spans="1:9" x14ac:dyDescent="0.25">
      <c r="A806" s="10">
        <v>3</v>
      </c>
      <c r="B806" s="10" t="s">
        <v>1061</v>
      </c>
      <c r="C806" s="10" t="s">
        <v>131</v>
      </c>
      <c r="D806" s="10" t="s">
        <v>1054</v>
      </c>
      <c r="E806" s="10" t="s">
        <v>1054</v>
      </c>
      <c r="H806" s="10" t="s">
        <v>218</v>
      </c>
      <c r="I806" s="10">
        <v>1</v>
      </c>
    </row>
    <row r="807" spans="1:9" x14ac:dyDescent="0.25">
      <c r="A807" s="9">
        <v>4</v>
      </c>
      <c r="B807" s="9" t="s">
        <v>1062</v>
      </c>
      <c r="C807" s="9" t="s">
        <v>131</v>
      </c>
      <c r="D807" s="9" t="s">
        <v>193</v>
      </c>
      <c r="E807" s="9" t="s">
        <v>193</v>
      </c>
      <c r="F807" s="9" t="s">
        <v>335</v>
      </c>
      <c r="G807" s="9">
        <v>0.109212</v>
      </c>
      <c r="H807" s="9" t="s">
        <v>218</v>
      </c>
      <c r="I807" s="9">
        <v>1</v>
      </c>
    </row>
    <row r="808" spans="1:9" x14ac:dyDescent="0.25">
      <c r="A808" s="9">
        <v>4</v>
      </c>
      <c r="B808" s="9" t="s">
        <v>1056</v>
      </c>
      <c r="C808" s="9" t="s">
        <v>25</v>
      </c>
      <c r="D808" s="9"/>
      <c r="E808" s="9" t="s">
        <v>1057</v>
      </c>
      <c r="F808" s="9" t="s">
        <v>27</v>
      </c>
      <c r="G808" s="9"/>
      <c r="H808" s="9"/>
      <c r="I808" s="9">
        <v>3</v>
      </c>
    </row>
    <row r="809" spans="1:9" x14ac:dyDescent="0.25">
      <c r="A809" s="10">
        <v>3</v>
      </c>
      <c r="B809" s="10" t="s">
        <v>1063</v>
      </c>
      <c r="C809" s="10" t="s">
        <v>29</v>
      </c>
      <c r="D809" s="10" t="s">
        <v>1064</v>
      </c>
      <c r="E809" s="10" t="s">
        <v>1064</v>
      </c>
      <c r="F809" s="10" t="s">
        <v>335</v>
      </c>
      <c r="G809" s="10">
        <v>3.1900699999999997E-2</v>
      </c>
      <c r="H809" s="10" t="s">
        <v>150</v>
      </c>
      <c r="I809" s="10">
        <v>1</v>
      </c>
    </row>
    <row r="810" spans="1:9" x14ac:dyDescent="0.25">
      <c r="A810" s="10">
        <v>3</v>
      </c>
      <c r="B810" s="10" t="s">
        <v>1065</v>
      </c>
      <c r="C810" s="10" t="s">
        <v>78</v>
      </c>
      <c r="D810" s="10" t="s">
        <v>1066</v>
      </c>
      <c r="E810" s="10" t="s">
        <v>1066</v>
      </c>
      <c r="F810" s="10" t="s">
        <v>169</v>
      </c>
      <c r="G810" s="10">
        <v>1.9222999999999999</v>
      </c>
      <c r="H810" s="10"/>
      <c r="I810" s="10">
        <v>1</v>
      </c>
    </row>
    <row r="811" spans="1:9" x14ac:dyDescent="0.25">
      <c r="A811" s="10">
        <v>3</v>
      </c>
      <c r="B811" s="10" t="s">
        <v>1067</v>
      </c>
      <c r="C811" s="10" t="s">
        <v>131</v>
      </c>
      <c r="D811" s="10" t="s">
        <v>1054</v>
      </c>
      <c r="E811" s="10" t="s">
        <v>1054</v>
      </c>
      <c r="H811" s="10" t="s">
        <v>218</v>
      </c>
      <c r="I811" s="10">
        <v>1</v>
      </c>
    </row>
    <row r="812" spans="1:9" x14ac:dyDescent="0.25">
      <c r="A812" s="9">
        <v>4</v>
      </c>
      <c r="B812" s="9" t="s">
        <v>1068</v>
      </c>
      <c r="C812" s="9" t="s">
        <v>131</v>
      </c>
      <c r="D812" s="9" t="s">
        <v>193</v>
      </c>
      <c r="E812" s="9" t="s">
        <v>193</v>
      </c>
      <c r="F812" s="9" t="s">
        <v>335</v>
      </c>
      <c r="G812" s="9">
        <v>1.0740599999999999E-2</v>
      </c>
      <c r="H812" s="9" t="s">
        <v>218</v>
      </c>
      <c r="I812" s="9">
        <v>1</v>
      </c>
    </row>
    <row r="813" spans="1:9" x14ac:dyDescent="0.25">
      <c r="A813" s="9">
        <v>4</v>
      </c>
      <c r="B813" s="9" t="s">
        <v>1069</v>
      </c>
      <c r="C813" s="9" t="s">
        <v>25</v>
      </c>
      <c r="D813" s="9"/>
      <c r="E813" s="9" t="s">
        <v>1070</v>
      </c>
      <c r="F813" s="9" t="s">
        <v>27</v>
      </c>
      <c r="G813" s="9"/>
      <c r="H813" s="9"/>
      <c r="I813" s="9">
        <v>2</v>
      </c>
    </row>
    <row r="814" spans="1:9" x14ac:dyDescent="0.25">
      <c r="A814" s="9">
        <v>4</v>
      </c>
      <c r="B814" s="9" t="s">
        <v>1056</v>
      </c>
      <c r="C814" s="9" t="s">
        <v>25</v>
      </c>
      <c r="D814" s="9"/>
      <c r="E814" s="9" t="s">
        <v>1057</v>
      </c>
      <c r="F814" s="9" t="s">
        <v>27</v>
      </c>
      <c r="G814" s="9"/>
      <c r="H814" s="9"/>
      <c r="I814" s="9">
        <v>2</v>
      </c>
    </row>
    <row r="815" spans="1:9" x14ac:dyDescent="0.25">
      <c r="A815" s="9">
        <v>4</v>
      </c>
      <c r="B815" s="9" t="s">
        <v>1058</v>
      </c>
      <c r="C815" s="9" t="s">
        <v>25</v>
      </c>
      <c r="D815" s="9" t="s">
        <v>631</v>
      </c>
      <c r="E815" s="9" t="s">
        <v>631</v>
      </c>
      <c r="F815" s="9" t="s">
        <v>101</v>
      </c>
      <c r="G815" s="14">
        <v>9.29983</v>
      </c>
      <c r="H815" s="9"/>
      <c r="I815" s="9">
        <v>8</v>
      </c>
    </row>
    <row r="816" spans="1:9" x14ac:dyDescent="0.25">
      <c r="A816" s="10">
        <v>3</v>
      </c>
      <c r="B816" s="10" t="s">
        <v>1071</v>
      </c>
      <c r="C816" s="10" t="s">
        <v>131</v>
      </c>
      <c r="D816" s="10" t="s">
        <v>1054</v>
      </c>
      <c r="E816" s="10" t="s">
        <v>1054</v>
      </c>
      <c r="H816" s="10" t="s">
        <v>218</v>
      </c>
      <c r="I816" s="10">
        <v>1</v>
      </c>
    </row>
    <row r="817" spans="1:9" x14ac:dyDescent="0.25">
      <c r="A817" s="9">
        <v>4</v>
      </c>
      <c r="B817" s="9" t="s">
        <v>1072</v>
      </c>
      <c r="C817" s="9" t="s">
        <v>131</v>
      </c>
      <c r="D817" s="9" t="s">
        <v>193</v>
      </c>
      <c r="E817" s="9" t="s">
        <v>193</v>
      </c>
      <c r="F817" s="9" t="s">
        <v>335</v>
      </c>
      <c r="G817" s="9">
        <v>1.08562E-2</v>
      </c>
      <c r="H817" s="9" t="s">
        <v>218</v>
      </c>
      <c r="I817" s="9">
        <v>1</v>
      </c>
    </row>
    <row r="818" spans="1:9" x14ac:dyDescent="0.25">
      <c r="A818" s="9">
        <v>4</v>
      </c>
      <c r="B818" s="9" t="s">
        <v>1069</v>
      </c>
      <c r="C818" s="9" t="s">
        <v>25</v>
      </c>
      <c r="D818" s="9"/>
      <c r="E818" s="9" t="s">
        <v>1070</v>
      </c>
      <c r="F818" s="9" t="s">
        <v>27</v>
      </c>
      <c r="G818" s="9"/>
      <c r="H818" s="9"/>
      <c r="I818" s="9">
        <v>2</v>
      </c>
    </row>
    <row r="819" spans="1:9" x14ac:dyDescent="0.25">
      <c r="A819" s="9">
        <v>4</v>
      </c>
      <c r="B819" s="9" t="s">
        <v>1058</v>
      </c>
      <c r="C819" s="9" t="s">
        <v>25</v>
      </c>
      <c r="D819" s="9" t="s">
        <v>631</v>
      </c>
      <c r="E819" s="9" t="s">
        <v>631</v>
      </c>
      <c r="F819" s="9" t="s">
        <v>101</v>
      </c>
      <c r="G819" s="14">
        <v>9.29983</v>
      </c>
      <c r="H819" s="9"/>
      <c r="I819" s="9">
        <v>4</v>
      </c>
    </row>
    <row r="820" spans="1:9" x14ac:dyDescent="0.25">
      <c r="A820" s="9">
        <v>2</v>
      </c>
      <c r="B820" s="9" t="s">
        <v>1089</v>
      </c>
      <c r="C820" s="9" t="s">
        <v>25</v>
      </c>
      <c r="D820" s="9" t="s">
        <v>1090</v>
      </c>
      <c r="E820" s="9" t="s">
        <v>1090</v>
      </c>
      <c r="H820" s="9"/>
      <c r="I820" s="9">
        <v>1</v>
      </c>
    </row>
    <row r="821" spans="1:9" x14ac:dyDescent="0.25">
      <c r="A821" s="10">
        <v>3</v>
      </c>
      <c r="B821" s="10" t="s">
        <v>1091</v>
      </c>
      <c r="C821" s="10" t="s">
        <v>25</v>
      </c>
      <c r="D821" s="10" t="s">
        <v>981</v>
      </c>
      <c r="E821" s="10" t="s">
        <v>981</v>
      </c>
      <c r="F821" s="10" t="s">
        <v>335</v>
      </c>
      <c r="G821" s="10">
        <v>2.95879E-2</v>
      </c>
      <c r="H821" s="10"/>
      <c r="I821" s="10">
        <v>1</v>
      </c>
    </row>
    <row r="822" spans="1:9" x14ac:dyDescent="0.25">
      <c r="A822" s="10">
        <v>3</v>
      </c>
      <c r="B822" s="10" t="s">
        <v>665</v>
      </c>
      <c r="C822" s="10" t="s">
        <v>25</v>
      </c>
      <c r="D822" s="10"/>
      <c r="E822" s="10" t="s">
        <v>666</v>
      </c>
      <c r="F822" s="10" t="s">
        <v>27</v>
      </c>
      <c r="G822" s="10"/>
      <c r="H822" s="10"/>
      <c r="I822" s="10">
        <v>2</v>
      </c>
    </row>
    <row r="823" spans="1:9" x14ac:dyDescent="0.25">
      <c r="A823" s="10">
        <v>3</v>
      </c>
      <c r="B823" s="10" t="s">
        <v>630</v>
      </c>
      <c r="C823" s="10" t="s">
        <v>25</v>
      </c>
      <c r="D823" s="10" t="s">
        <v>631</v>
      </c>
      <c r="E823" s="10" t="s">
        <v>631</v>
      </c>
      <c r="F823" s="10" t="s">
        <v>101</v>
      </c>
      <c r="G823" s="13">
        <v>7.2727799999999998E-5</v>
      </c>
      <c r="H823" s="10"/>
      <c r="I823" s="10">
        <v>4</v>
      </c>
    </row>
    <row r="824" spans="1:9" x14ac:dyDescent="0.25">
      <c r="A824" s="9">
        <v>2</v>
      </c>
      <c r="B824" s="9" t="s">
        <v>1092</v>
      </c>
      <c r="C824" s="9" t="s">
        <v>54</v>
      </c>
      <c r="D824" s="9" t="s">
        <v>1093</v>
      </c>
      <c r="E824" s="9" t="s">
        <v>1093</v>
      </c>
      <c r="F824" s="9" t="s">
        <v>335</v>
      </c>
      <c r="G824" s="9">
        <v>7.9068899999999998E-2</v>
      </c>
      <c r="H824" s="9" t="s">
        <v>102</v>
      </c>
      <c r="I824" s="9">
        <v>1</v>
      </c>
    </row>
    <row r="825" spans="1:9" x14ac:dyDescent="0.25">
      <c r="A825" s="9">
        <v>2</v>
      </c>
      <c r="B825" s="9" t="s">
        <v>1094</v>
      </c>
      <c r="C825" s="9" t="s">
        <v>70</v>
      </c>
      <c r="D825" s="9" t="s">
        <v>1095</v>
      </c>
      <c r="E825" s="9" t="s">
        <v>1095</v>
      </c>
      <c r="H825" s="9" t="s">
        <v>218</v>
      </c>
      <c r="I825" s="9">
        <v>1</v>
      </c>
    </row>
    <row r="826" spans="1:9" x14ac:dyDescent="0.25">
      <c r="A826" s="10">
        <v>3</v>
      </c>
      <c r="B826" s="10" t="s">
        <v>1096</v>
      </c>
      <c r="C826" s="10" t="s">
        <v>70</v>
      </c>
      <c r="D826" s="10" t="s">
        <v>1097</v>
      </c>
      <c r="E826" s="10" t="s">
        <v>1098</v>
      </c>
      <c r="H826" s="10" t="s">
        <v>218</v>
      </c>
      <c r="I826" s="10">
        <v>1</v>
      </c>
    </row>
    <row r="827" spans="1:9" x14ac:dyDescent="0.25">
      <c r="A827" s="9">
        <v>4</v>
      </c>
      <c r="B827" s="9" t="s">
        <v>1099</v>
      </c>
      <c r="C827" s="9" t="s">
        <v>70</v>
      </c>
      <c r="D827" s="9" t="s">
        <v>1100</v>
      </c>
      <c r="E827" s="9" t="s">
        <v>1100</v>
      </c>
      <c r="F827" s="9" t="s">
        <v>612</v>
      </c>
      <c r="G827" s="9">
        <v>0.10281800000000001</v>
      </c>
      <c r="H827" s="9" t="s">
        <v>218</v>
      </c>
      <c r="I827" s="9">
        <v>1</v>
      </c>
    </row>
    <row r="828" spans="1:9" x14ac:dyDescent="0.25">
      <c r="A828" s="9">
        <v>4</v>
      </c>
      <c r="B828" s="9" t="s">
        <v>1101</v>
      </c>
      <c r="C828" s="9" t="s">
        <v>70</v>
      </c>
      <c r="D828" s="9" t="s">
        <v>291</v>
      </c>
      <c r="E828" s="9" t="s">
        <v>291</v>
      </c>
      <c r="F828" s="9" t="s">
        <v>292</v>
      </c>
      <c r="G828" s="9">
        <v>3.82686E-2</v>
      </c>
      <c r="H828" s="9" t="s">
        <v>218</v>
      </c>
      <c r="I828" s="9">
        <v>1</v>
      </c>
    </row>
    <row r="829" spans="1:9" x14ac:dyDescent="0.25">
      <c r="A829" s="9">
        <v>4</v>
      </c>
      <c r="B829" s="9" t="s">
        <v>1102</v>
      </c>
      <c r="C829" s="9" t="s">
        <v>70</v>
      </c>
      <c r="D829" s="9" t="s">
        <v>1103</v>
      </c>
      <c r="E829" s="9" t="s">
        <v>1103</v>
      </c>
      <c r="F829" s="9" t="s">
        <v>297</v>
      </c>
      <c r="G829" s="9">
        <v>0.13431799999999999</v>
      </c>
      <c r="H829" s="9" t="s">
        <v>218</v>
      </c>
      <c r="I829" s="9">
        <v>1</v>
      </c>
    </row>
    <row r="830" spans="1:9" x14ac:dyDescent="0.25">
      <c r="A830" s="9">
        <v>4</v>
      </c>
      <c r="B830" s="9" t="s">
        <v>67</v>
      </c>
      <c r="C830" s="9" t="s">
        <v>25</v>
      </c>
      <c r="D830" s="9" t="s">
        <v>68</v>
      </c>
      <c r="E830" s="9" t="s">
        <v>68</v>
      </c>
      <c r="F830" s="9" t="s">
        <v>27</v>
      </c>
      <c r="G830" s="9"/>
      <c r="H830" s="9"/>
      <c r="I830" s="9">
        <v>4</v>
      </c>
    </row>
    <row r="831" spans="1:9" x14ac:dyDescent="0.25">
      <c r="A831" s="10">
        <v>3</v>
      </c>
      <c r="B831" s="10" t="s">
        <v>1104</v>
      </c>
      <c r="C831" s="10" t="s">
        <v>70</v>
      </c>
      <c r="D831" s="10" t="s">
        <v>1105</v>
      </c>
      <c r="E831" s="10" t="s">
        <v>1098</v>
      </c>
      <c r="H831" s="10" t="s">
        <v>218</v>
      </c>
      <c r="I831" s="10">
        <v>1</v>
      </c>
    </row>
    <row r="832" spans="1:9" x14ac:dyDescent="0.25">
      <c r="A832" s="9">
        <v>4</v>
      </c>
      <c r="B832" s="9" t="s">
        <v>1106</v>
      </c>
      <c r="C832" s="9" t="s">
        <v>70</v>
      </c>
      <c r="D832" s="9" t="s">
        <v>1100</v>
      </c>
      <c r="E832" s="9" t="s">
        <v>1107</v>
      </c>
      <c r="F832" s="9" t="s">
        <v>612</v>
      </c>
      <c r="G832" s="9">
        <v>0.10595400000000001</v>
      </c>
      <c r="H832" s="9" t="s">
        <v>218</v>
      </c>
      <c r="I832" s="9">
        <v>1</v>
      </c>
    </row>
    <row r="833" spans="1:9" x14ac:dyDescent="0.25">
      <c r="A833" s="9">
        <v>4</v>
      </c>
      <c r="B833" s="9" t="s">
        <v>1108</v>
      </c>
      <c r="C833" s="9" t="s">
        <v>70</v>
      </c>
      <c r="D833" s="9"/>
      <c r="E833" s="9" t="s">
        <v>291</v>
      </c>
      <c r="F833" s="9" t="s">
        <v>292</v>
      </c>
      <c r="G833" s="9">
        <v>3.9328000000000002E-2</v>
      </c>
      <c r="H833" s="9" t="s">
        <v>218</v>
      </c>
      <c r="I833" s="9">
        <v>1</v>
      </c>
    </row>
    <row r="834" spans="1:9" x14ac:dyDescent="0.25">
      <c r="A834" s="9">
        <v>4</v>
      </c>
      <c r="B834" s="9" t="s">
        <v>1109</v>
      </c>
      <c r="C834" s="9" t="s">
        <v>70</v>
      </c>
      <c r="D834" s="9"/>
      <c r="E834" s="9" t="s">
        <v>1103</v>
      </c>
      <c r="F834" s="9" t="s">
        <v>297</v>
      </c>
      <c r="G834" s="9">
        <v>0.13856099999999999</v>
      </c>
      <c r="H834" s="9" t="s">
        <v>218</v>
      </c>
      <c r="I834" s="9">
        <v>1</v>
      </c>
    </row>
    <row r="835" spans="1:9" x14ac:dyDescent="0.25">
      <c r="A835" s="9">
        <v>4</v>
      </c>
      <c r="B835" s="9" t="s">
        <v>67</v>
      </c>
      <c r="C835" s="9" t="s">
        <v>25</v>
      </c>
      <c r="D835" s="9" t="s">
        <v>68</v>
      </c>
      <c r="E835" s="9" t="s">
        <v>68</v>
      </c>
      <c r="F835" s="9" t="s">
        <v>27</v>
      </c>
      <c r="G835" s="9"/>
      <c r="H835" s="9"/>
      <c r="I835" s="9">
        <v>4</v>
      </c>
    </row>
    <row r="836" spans="1:9" x14ac:dyDescent="0.25">
      <c r="A836" s="10">
        <v>3</v>
      </c>
      <c r="B836" s="10" t="s">
        <v>1110</v>
      </c>
      <c r="C836" s="10" t="s">
        <v>70</v>
      </c>
      <c r="D836" s="10" t="s">
        <v>1111</v>
      </c>
      <c r="E836" s="10" t="s">
        <v>1098</v>
      </c>
      <c r="H836" s="10" t="s">
        <v>218</v>
      </c>
      <c r="I836" s="10">
        <v>1</v>
      </c>
    </row>
    <row r="837" spans="1:9" x14ac:dyDescent="0.25">
      <c r="A837" s="9">
        <v>4</v>
      </c>
      <c r="B837" s="9" t="s">
        <v>1112</v>
      </c>
      <c r="C837" s="9" t="s">
        <v>70</v>
      </c>
      <c r="D837" s="9" t="s">
        <v>1113</v>
      </c>
      <c r="E837" s="9" t="s">
        <v>1114</v>
      </c>
      <c r="F837" s="9" t="s">
        <v>612</v>
      </c>
      <c r="G837" s="9">
        <v>0.64374100000000001</v>
      </c>
      <c r="H837" s="9" t="s">
        <v>218</v>
      </c>
      <c r="I837" s="9">
        <v>1</v>
      </c>
    </row>
    <row r="838" spans="1:9" x14ac:dyDescent="0.25">
      <c r="A838" s="9">
        <v>4</v>
      </c>
      <c r="B838" s="9" t="s">
        <v>1115</v>
      </c>
      <c r="C838" s="9" t="s">
        <v>70</v>
      </c>
      <c r="D838" s="9" t="s">
        <v>1116</v>
      </c>
      <c r="E838" s="9" t="s">
        <v>1116</v>
      </c>
      <c r="H838" s="9" t="s">
        <v>218</v>
      </c>
      <c r="I838" s="9">
        <v>1</v>
      </c>
    </row>
    <row r="839" spans="1:9" x14ac:dyDescent="0.25">
      <c r="A839" s="10">
        <v>5</v>
      </c>
      <c r="B839" s="10" t="s">
        <v>1117</v>
      </c>
      <c r="C839" s="10" t="s">
        <v>25</v>
      </c>
      <c r="D839" s="10" t="s">
        <v>1118</v>
      </c>
      <c r="E839" s="10"/>
      <c r="F839" s="10"/>
      <c r="G839" s="10">
        <v>0</v>
      </c>
      <c r="H839" s="10"/>
      <c r="I839" s="10">
        <v>1</v>
      </c>
    </row>
    <row r="840" spans="1:9" x14ac:dyDescent="0.25">
      <c r="A840" s="10">
        <v>5</v>
      </c>
      <c r="B840" s="10" t="s">
        <v>1119</v>
      </c>
      <c r="C840" s="10" t="s">
        <v>78</v>
      </c>
      <c r="D840" s="10" t="s">
        <v>1120</v>
      </c>
      <c r="E840" s="10" t="s">
        <v>1120</v>
      </c>
      <c r="F840" s="10" t="s">
        <v>101</v>
      </c>
      <c r="G840" s="10">
        <v>3.1795200000000003E-2</v>
      </c>
      <c r="H840" s="10" t="s">
        <v>150</v>
      </c>
      <c r="I840" s="10">
        <v>1</v>
      </c>
    </row>
    <row r="841" spans="1:9" x14ac:dyDescent="0.25">
      <c r="A841" s="10">
        <v>5</v>
      </c>
      <c r="B841" s="10" t="s">
        <v>258</v>
      </c>
      <c r="C841" s="10" t="s">
        <v>25</v>
      </c>
      <c r="D841" s="10"/>
      <c r="E841" s="10" t="s">
        <v>178</v>
      </c>
      <c r="F841" s="10" t="s">
        <v>27</v>
      </c>
      <c r="G841" s="10"/>
      <c r="H841" s="10"/>
      <c r="I841" s="10">
        <v>2</v>
      </c>
    </row>
    <row r="842" spans="1:9" x14ac:dyDescent="0.25">
      <c r="A842" s="9">
        <v>4</v>
      </c>
      <c r="B842" s="9" t="s">
        <v>1121</v>
      </c>
      <c r="C842" s="9" t="s">
        <v>70</v>
      </c>
      <c r="D842" s="9"/>
      <c r="E842" s="9" t="s">
        <v>291</v>
      </c>
      <c r="F842" s="9" t="s">
        <v>292</v>
      </c>
      <c r="G842" s="9">
        <v>6.3781500000000005E-2</v>
      </c>
      <c r="H842" s="9" t="s">
        <v>218</v>
      </c>
      <c r="I842" s="9">
        <v>1</v>
      </c>
    </row>
    <row r="843" spans="1:9" x14ac:dyDescent="0.25">
      <c r="A843" s="9">
        <v>4</v>
      </c>
      <c r="B843" s="9" t="s">
        <v>1122</v>
      </c>
      <c r="C843" s="9" t="s">
        <v>70</v>
      </c>
      <c r="D843" s="9"/>
      <c r="E843" s="9" t="s">
        <v>1103</v>
      </c>
      <c r="F843" s="9" t="s">
        <v>297</v>
      </c>
      <c r="G843" s="9">
        <v>0.84619200000000006</v>
      </c>
      <c r="H843" s="9" t="s">
        <v>218</v>
      </c>
      <c r="I843" s="9">
        <v>1</v>
      </c>
    </row>
    <row r="844" spans="1:9" x14ac:dyDescent="0.25">
      <c r="A844" s="9">
        <v>4</v>
      </c>
      <c r="B844" s="9" t="s">
        <v>49</v>
      </c>
      <c r="C844" s="9" t="s">
        <v>25</v>
      </c>
      <c r="D844" s="9" t="s">
        <v>50</v>
      </c>
      <c r="E844" s="9" t="s">
        <v>50</v>
      </c>
      <c r="F844" s="9" t="s">
        <v>27</v>
      </c>
      <c r="G844" s="9"/>
      <c r="H844" s="9"/>
      <c r="I844" s="9">
        <v>4</v>
      </c>
    </row>
    <row r="845" spans="1:9" x14ac:dyDescent="0.25">
      <c r="A845" s="10">
        <v>3</v>
      </c>
      <c r="B845" s="10" t="s">
        <v>1123</v>
      </c>
      <c r="C845" s="10" t="s">
        <v>70</v>
      </c>
      <c r="D845" s="10" t="s">
        <v>1124</v>
      </c>
      <c r="E845" s="10" t="s">
        <v>1098</v>
      </c>
      <c r="H845" s="10" t="s">
        <v>218</v>
      </c>
      <c r="I845" s="10">
        <v>1</v>
      </c>
    </row>
    <row r="846" spans="1:9" x14ac:dyDescent="0.25">
      <c r="A846" s="9">
        <v>4</v>
      </c>
      <c r="B846" s="9" t="s">
        <v>1115</v>
      </c>
      <c r="C846" s="9" t="s">
        <v>70</v>
      </c>
      <c r="D846" s="9" t="s">
        <v>1116</v>
      </c>
      <c r="E846" s="9" t="s">
        <v>1116</v>
      </c>
      <c r="H846" s="9" t="s">
        <v>218</v>
      </c>
      <c r="I846" s="9">
        <v>1</v>
      </c>
    </row>
    <row r="847" spans="1:9" x14ac:dyDescent="0.25">
      <c r="A847" s="10">
        <v>5</v>
      </c>
      <c r="B847" s="10" t="s">
        <v>1117</v>
      </c>
      <c r="C847" s="10" t="s">
        <v>25</v>
      </c>
      <c r="D847" s="10" t="s">
        <v>1118</v>
      </c>
      <c r="E847" s="10"/>
      <c r="F847" s="10"/>
      <c r="G847" s="10">
        <v>0</v>
      </c>
      <c r="H847" s="10"/>
      <c r="I847" s="10">
        <v>1</v>
      </c>
    </row>
    <row r="848" spans="1:9" x14ac:dyDescent="0.25">
      <c r="A848" s="10">
        <v>5</v>
      </c>
      <c r="B848" s="10" t="s">
        <v>1119</v>
      </c>
      <c r="C848" s="10" t="s">
        <v>78</v>
      </c>
      <c r="D848" s="10" t="s">
        <v>1120</v>
      </c>
      <c r="E848" s="10" t="s">
        <v>1120</v>
      </c>
      <c r="F848" s="10" t="s">
        <v>101</v>
      </c>
      <c r="G848" s="10">
        <v>3.1795200000000003E-2</v>
      </c>
      <c r="H848" s="10" t="s">
        <v>150</v>
      </c>
      <c r="I848" s="10">
        <v>1</v>
      </c>
    </row>
    <row r="849" spans="1:9" x14ac:dyDescent="0.25">
      <c r="A849" s="10">
        <v>5</v>
      </c>
      <c r="B849" s="10" t="s">
        <v>258</v>
      </c>
      <c r="C849" s="10" t="s">
        <v>25</v>
      </c>
      <c r="D849" s="10"/>
      <c r="E849" s="10" t="s">
        <v>178</v>
      </c>
      <c r="F849" s="10" t="s">
        <v>27</v>
      </c>
      <c r="G849" s="10"/>
      <c r="H849" s="10"/>
      <c r="I849" s="10">
        <v>2</v>
      </c>
    </row>
    <row r="850" spans="1:9" x14ac:dyDescent="0.25">
      <c r="A850" s="9">
        <v>4</v>
      </c>
      <c r="B850" s="9" t="s">
        <v>1125</v>
      </c>
      <c r="C850" s="9" t="s">
        <v>70</v>
      </c>
      <c r="D850" s="9"/>
      <c r="E850" s="9" t="s">
        <v>1103</v>
      </c>
      <c r="F850" s="9" t="s">
        <v>297</v>
      </c>
      <c r="G850" s="9">
        <v>0.33898</v>
      </c>
      <c r="H850" s="9" t="s">
        <v>218</v>
      </c>
      <c r="I850" s="9">
        <v>1</v>
      </c>
    </row>
    <row r="851" spans="1:9" x14ac:dyDescent="0.25">
      <c r="A851" s="9">
        <v>4</v>
      </c>
      <c r="B851" s="9" t="s">
        <v>1126</v>
      </c>
      <c r="C851" s="9" t="s">
        <v>70</v>
      </c>
      <c r="D851" s="9"/>
      <c r="E851" s="9" t="s">
        <v>291</v>
      </c>
      <c r="F851" s="9" t="s">
        <v>292</v>
      </c>
      <c r="G851" s="9">
        <v>4.6390599999999997E-2</v>
      </c>
      <c r="H851" s="9" t="s">
        <v>218</v>
      </c>
      <c r="I851" s="9">
        <v>1</v>
      </c>
    </row>
    <row r="852" spans="1:9" x14ac:dyDescent="0.25">
      <c r="A852" s="9">
        <v>4</v>
      </c>
      <c r="B852" s="9" t="s">
        <v>1127</v>
      </c>
      <c r="C852" s="9" t="s">
        <v>70</v>
      </c>
      <c r="D852" s="9" t="s">
        <v>1128</v>
      </c>
      <c r="E852" s="9" t="s">
        <v>1100</v>
      </c>
      <c r="F852" s="9" t="s">
        <v>612</v>
      </c>
      <c r="G852" s="9">
        <v>0.256712</v>
      </c>
      <c r="H852" s="9" t="s">
        <v>218</v>
      </c>
      <c r="I852" s="9">
        <v>1</v>
      </c>
    </row>
    <row r="853" spans="1:9" x14ac:dyDescent="0.25">
      <c r="A853" s="9">
        <v>4</v>
      </c>
      <c r="B853" s="9" t="s">
        <v>67</v>
      </c>
      <c r="C853" s="9" t="s">
        <v>25</v>
      </c>
      <c r="D853" s="9" t="s">
        <v>68</v>
      </c>
      <c r="E853" s="9" t="s">
        <v>68</v>
      </c>
      <c r="F853" s="9" t="s">
        <v>27</v>
      </c>
      <c r="G853" s="9"/>
      <c r="H853" s="9"/>
      <c r="I853" s="9">
        <v>4</v>
      </c>
    </row>
    <row r="854" spans="1:9" x14ac:dyDescent="0.25">
      <c r="A854" s="9">
        <v>4</v>
      </c>
      <c r="B854" s="9" t="s">
        <v>261</v>
      </c>
      <c r="C854" s="9" t="s">
        <v>25</v>
      </c>
      <c r="D854" s="9"/>
      <c r="E854" s="9" t="s">
        <v>9</v>
      </c>
      <c r="F854" s="9" t="s">
        <v>27</v>
      </c>
      <c r="G854" s="9"/>
      <c r="H854" s="9"/>
      <c r="I854" s="9">
        <v>4</v>
      </c>
    </row>
    <row r="855" spans="1:9" x14ac:dyDescent="0.25">
      <c r="A855" s="10">
        <v>3</v>
      </c>
      <c r="B855" s="10" t="s">
        <v>1129</v>
      </c>
      <c r="C855" s="10" t="s">
        <v>70</v>
      </c>
      <c r="D855" s="10" t="s">
        <v>1130</v>
      </c>
      <c r="E855" s="10" t="s">
        <v>1098</v>
      </c>
      <c r="H855" s="10" t="s">
        <v>218</v>
      </c>
      <c r="I855" s="10">
        <v>1</v>
      </c>
    </row>
    <row r="856" spans="1:9" x14ac:dyDescent="0.25">
      <c r="A856" s="9">
        <v>4</v>
      </c>
      <c r="B856" s="9" t="s">
        <v>1115</v>
      </c>
      <c r="C856" s="9" t="s">
        <v>70</v>
      </c>
      <c r="D856" s="9" t="s">
        <v>1116</v>
      </c>
      <c r="E856" s="9" t="s">
        <v>1116</v>
      </c>
      <c r="H856" s="9" t="s">
        <v>218</v>
      </c>
      <c r="I856" s="9">
        <v>1</v>
      </c>
    </row>
    <row r="857" spans="1:9" x14ac:dyDescent="0.25">
      <c r="A857" s="10">
        <v>5</v>
      </c>
      <c r="B857" s="10" t="s">
        <v>1117</v>
      </c>
      <c r="C857" s="10" t="s">
        <v>25</v>
      </c>
      <c r="D857" s="10" t="s">
        <v>1118</v>
      </c>
      <c r="E857" s="10"/>
      <c r="F857" s="10"/>
      <c r="G857" s="10">
        <v>0</v>
      </c>
      <c r="H857" s="10"/>
      <c r="I857" s="10">
        <v>1</v>
      </c>
    </row>
    <row r="858" spans="1:9" x14ac:dyDescent="0.25">
      <c r="A858" s="10">
        <v>5</v>
      </c>
      <c r="B858" s="10" t="s">
        <v>1119</v>
      </c>
      <c r="C858" s="10" t="s">
        <v>78</v>
      </c>
      <c r="D858" s="10" t="s">
        <v>1120</v>
      </c>
      <c r="E858" s="10" t="s">
        <v>1120</v>
      </c>
      <c r="F858" s="10" t="s">
        <v>101</v>
      </c>
      <c r="G858" s="10">
        <v>3.1795200000000003E-2</v>
      </c>
      <c r="H858" s="10" t="s">
        <v>150</v>
      </c>
      <c r="I858" s="10">
        <v>1</v>
      </c>
    </row>
    <row r="859" spans="1:9" x14ac:dyDescent="0.25">
      <c r="A859" s="10">
        <v>5</v>
      </c>
      <c r="B859" s="10" t="s">
        <v>258</v>
      </c>
      <c r="C859" s="10" t="s">
        <v>25</v>
      </c>
      <c r="D859" s="10"/>
      <c r="E859" s="10" t="s">
        <v>178</v>
      </c>
      <c r="F859" s="10" t="s">
        <v>27</v>
      </c>
      <c r="G859" s="10"/>
      <c r="H859" s="10"/>
      <c r="I859" s="10">
        <v>2</v>
      </c>
    </row>
    <row r="860" spans="1:9" x14ac:dyDescent="0.25">
      <c r="A860" s="9">
        <v>4</v>
      </c>
      <c r="B860" s="9" t="s">
        <v>1131</v>
      </c>
      <c r="C860" s="9" t="s">
        <v>70</v>
      </c>
      <c r="D860" s="9"/>
      <c r="E860" s="9" t="s">
        <v>1103</v>
      </c>
      <c r="F860" s="9" t="s">
        <v>297</v>
      </c>
      <c r="G860" s="9">
        <v>0.288331</v>
      </c>
      <c r="H860" s="9" t="s">
        <v>218</v>
      </c>
      <c r="I860" s="9">
        <v>1</v>
      </c>
    </row>
    <row r="861" spans="1:9" x14ac:dyDescent="0.25">
      <c r="A861" s="9">
        <v>4</v>
      </c>
      <c r="B861" s="9" t="s">
        <v>1132</v>
      </c>
      <c r="C861" s="9" t="s">
        <v>70</v>
      </c>
      <c r="D861" s="9"/>
      <c r="E861" s="9" t="s">
        <v>291</v>
      </c>
      <c r="F861" s="9" t="s">
        <v>292</v>
      </c>
      <c r="G861" s="9">
        <v>4.4641100000000003E-2</v>
      </c>
      <c r="H861" s="9" t="s">
        <v>218</v>
      </c>
      <c r="I861" s="9">
        <v>1</v>
      </c>
    </row>
    <row r="862" spans="1:9" x14ac:dyDescent="0.25">
      <c r="A862" s="9">
        <v>4</v>
      </c>
      <c r="B862" s="9" t="s">
        <v>1133</v>
      </c>
      <c r="C862" s="9" t="s">
        <v>70</v>
      </c>
      <c r="D862" s="9" t="s">
        <v>1134</v>
      </c>
      <c r="E862" s="9" t="s">
        <v>1100</v>
      </c>
      <c r="F862" s="9" t="s">
        <v>612</v>
      </c>
      <c r="G862" s="9">
        <v>0.21766099999999999</v>
      </c>
      <c r="H862" s="9" t="s">
        <v>218</v>
      </c>
      <c r="I862" s="9">
        <v>1</v>
      </c>
    </row>
    <row r="863" spans="1:9" x14ac:dyDescent="0.25">
      <c r="A863" s="9">
        <v>4</v>
      </c>
      <c r="B863" s="9" t="s">
        <v>67</v>
      </c>
      <c r="C863" s="9" t="s">
        <v>25</v>
      </c>
      <c r="D863" s="9" t="s">
        <v>68</v>
      </c>
      <c r="E863" s="9" t="s">
        <v>68</v>
      </c>
      <c r="F863" s="9" t="s">
        <v>27</v>
      </c>
      <c r="G863" s="9"/>
      <c r="H863" s="9"/>
      <c r="I863" s="9">
        <v>4</v>
      </c>
    </row>
    <row r="864" spans="1:9" x14ac:dyDescent="0.25">
      <c r="A864" s="9">
        <v>4</v>
      </c>
      <c r="B864" s="9" t="s">
        <v>261</v>
      </c>
      <c r="C864" s="9" t="s">
        <v>25</v>
      </c>
      <c r="D864" s="9"/>
      <c r="E864" s="9" t="s">
        <v>9</v>
      </c>
      <c r="F864" s="9" t="s">
        <v>27</v>
      </c>
      <c r="G864" s="9"/>
      <c r="H864" s="9"/>
      <c r="I864" s="9">
        <v>4</v>
      </c>
    </row>
    <row r="865" spans="1:9" x14ac:dyDescent="0.25">
      <c r="A865" s="10">
        <v>3</v>
      </c>
      <c r="B865" s="10" t="s">
        <v>1135</v>
      </c>
      <c r="C865" s="10" t="s">
        <v>70</v>
      </c>
      <c r="D865" s="10" t="s">
        <v>1130</v>
      </c>
      <c r="E865" s="10" t="s">
        <v>1098</v>
      </c>
      <c r="H865" s="10" t="s">
        <v>218</v>
      </c>
      <c r="I865" s="10">
        <v>1</v>
      </c>
    </row>
    <row r="866" spans="1:9" x14ac:dyDescent="0.25">
      <c r="A866" s="9">
        <v>4</v>
      </c>
      <c r="B866" s="9" t="s">
        <v>1115</v>
      </c>
      <c r="C866" s="9" t="s">
        <v>70</v>
      </c>
      <c r="D866" s="9" t="s">
        <v>1116</v>
      </c>
      <c r="E866" s="9" t="s">
        <v>1116</v>
      </c>
      <c r="H866" s="9" t="s">
        <v>218</v>
      </c>
      <c r="I866" s="9">
        <v>1</v>
      </c>
    </row>
    <row r="867" spans="1:9" x14ac:dyDescent="0.25">
      <c r="A867" s="10">
        <v>5</v>
      </c>
      <c r="B867" s="10" t="s">
        <v>1117</v>
      </c>
      <c r="C867" s="10" t="s">
        <v>25</v>
      </c>
      <c r="D867" s="10" t="s">
        <v>1118</v>
      </c>
      <c r="E867" s="10"/>
      <c r="F867" s="10"/>
      <c r="G867" s="10">
        <v>0</v>
      </c>
      <c r="H867" s="10"/>
      <c r="I867" s="10">
        <v>1</v>
      </c>
    </row>
    <row r="868" spans="1:9" x14ac:dyDescent="0.25">
      <c r="A868" s="10">
        <v>5</v>
      </c>
      <c r="B868" s="10" t="s">
        <v>1119</v>
      </c>
      <c r="C868" s="10" t="s">
        <v>78</v>
      </c>
      <c r="D868" s="10" t="s">
        <v>1120</v>
      </c>
      <c r="E868" s="10" t="s">
        <v>1120</v>
      </c>
      <c r="F868" s="10" t="s">
        <v>101</v>
      </c>
      <c r="G868" s="10">
        <v>3.1795200000000003E-2</v>
      </c>
      <c r="H868" s="10" t="s">
        <v>150</v>
      </c>
      <c r="I868" s="10">
        <v>1</v>
      </c>
    </row>
    <row r="869" spans="1:9" x14ac:dyDescent="0.25">
      <c r="A869" s="10">
        <v>5</v>
      </c>
      <c r="B869" s="10" t="s">
        <v>258</v>
      </c>
      <c r="C869" s="10" t="s">
        <v>25</v>
      </c>
      <c r="D869" s="10"/>
      <c r="E869" s="10" t="s">
        <v>178</v>
      </c>
      <c r="F869" s="10" t="s">
        <v>27</v>
      </c>
      <c r="G869" s="10"/>
      <c r="H869" s="10"/>
      <c r="I869" s="10">
        <v>2</v>
      </c>
    </row>
    <row r="870" spans="1:9" x14ac:dyDescent="0.25">
      <c r="A870" s="9">
        <v>4</v>
      </c>
      <c r="B870" s="9" t="s">
        <v>1136</v>
      </c>
      <c r="C870" s="9" t="s">
        <v>70</v>
      </c>
      <c r="D870" s="9"/>
      <c r="E870" s="9" t="s">
        <v>1103</v>
      </c>
      <c r="F870" s="9" t="s">
        <v>297</v>
      </c>
      <c r="G870" s="9">
        <v>0.23674899999999999</v>
      </c>
      <c r="H870" s="9" t="s">
        <v>218</v>
      </c>
      <c r="I870" s="9">
        <v>1</v>
      </c>
    </row>
    <row r="871" spans="1:9" x14ac:dyDescent="0.25">
      <c r="A871" s="9">
        <v>4</v>
      </c>
      <c r="B871" s="9" t="s">
        <v>1137</v>
      </c>
      <c r="C871" s="9" t="s">
        <v>70</v>
      </c>
      <c r="D871" s="9"/>
      <c r="E871" s="9" t="s">
        <v>291</v>
      </c>
      <c r="F871" s="9" t="s">
        <v>292</v>
      </c>
      <c r="G871" s="9">
        <v>4.2859300000000003E-2</v>
      </c>
      <c r="H871" s="9" t="s">
        <v>218</v>
      </c>
      <c r="I871" s="9">
        <v>1</v>
      </c>
    </row>
    <row r="872" spans="1:9" x14ac:dyDescent="0.25">
      <c r="A872" s="9">
        <v>4</v>
      </c>
      <c r="B872" s="9" t="s">
        <v>1138</v>
      </c>
      <c r="C872" s="9" t="s">
        <v>70</v>
      </c>
      <c r="D872" s="9" t="s">
        <v>1134</v>
      </c>
      <c r="E872" s="9" t="s">
        <v>1100</v>
      </c>
      <c r="F872" s="9" t="s">
        <v>612</v>
      </c>
      <c r="G872" s="9">
        <v>0.17791699999999999</v>
      </c>
      <c r="H872" s="9" t="s">
        <v>218</v>
      </c>
      <c r="I872" s="9">
        <v>1</v>
      </c>
    </row>
    <row r="873" spans="1:9" x14ac:dyDescent="0.25">
      <c r="A873" s="9">
        <v>4</v>
      </c>
      <c r="B873" s="9" t="s">
        <v>67</v>
      </c>
      <c r="C873" s="9" t="s">
        <v>25</v>
      </c>
      <c r="D873" s="9" t="s">
        <v>68</v>
      </c>
      <c r="E873" s="9" t="s">
        <v>68</v>
      </c>
      <c r="F873" s="9" t="s">
        <v>27</v>
      </c>
      <c r="G873" s="9"/>
      <c r="H873" s="9"/>
      <c r="I873" s="9">
        <v>4</v>
      </c>
    </row>
    <row r="874" spans="1:9" x14ac:dyDescent="0.25">
      <c r="A874" s="9">
        <v>4</v>
      </c>
      <c r="B874" s="9" t="s">
        <v>261</v>
      </c>
      <c r="C874" s="9" t="s">
        <v>25</v>
      </c>
      <c r="D874" s="9"/>
      <c r="E874" s="9" t="s">
        <v>9</v>
      </c>
      <c r="F874" s="9" t="s">
        <v>27</v>
      </c>
      <c r="G874" s="9"/>
      <c r="H874" s="9"/>
      <c r="I874" s="9">
        <v>4</v>
      </c>
    </row>
    <row r="875" spans="1:9" x14ac:dyDescent="0.25">
      <c r="A875" s="10">
        <v>3</v>
      </c>
      <c r="B875" s="10" t="s">
        <v>1139</v>
      </c>
      <c r="C875" s="10" t="s">
        <v>70</v>
      </c>
      <c r="D875" s="10" t="s">
        <v>1124</v>
      </c>
      <c r="E875" s="10" t="s">
        <v>1098</v>
      </c>
      <c r="H875" s="10" t="s">
        <v>218</v>
      </c>
      <c r="I875" s="10">
        <v>1</v>
      </c>
    </row>
    <row r="876" spans="1:9" x14ac:dyDescent="0.25">
      <c r="A876" s="9">
        <v>4</v>
      </c>
      <c r="B876" s="9" t="s">
        <v>1115</v>
      </c>
      <c r="C876" s="9" t="s">
        <v>70</v>
      </c>
      <c r="D876" s="9" t="s">
        <v>1116</v>
      </c>
      <c r="E876" s="9" t="s">
        <v>1116</v>
      </c>
      <c r="H876" s="9" t="s">
        <v>218</v>
      </c>
      <c r="I876" s="9">
        <v>1</v>
      </c>
    </row>
    <row r="877" spans="1:9" x14ac:dyDescent="0.25">
      <c r="A877" s="10">
        <v>5</v>
      </c>
      <c r="B877" s="10" t="s">
        <v>1117</v>
      </c>
      <c r="C877" s="10" t="s">
        <v>25</v>
      </c>
      <c r="D877" s="10" t="s">
        <v>1118</v>
      </c>
      <c r="E877" s="10"/>
      <c r="F877" s="10"/>
      <c r="G877" s="10">
        <v>0</v>
      </c>
      <c r="H877" s="10"/>
      <c r="I877" s="10">
        <v>1</v>
      </c>
    </row>
    <row r="878" spans="1:9" x14ac:dyDescent="0.25">
      <c r="A878" s="10">
        <v>5</v>
      </c>
      <c r="B878" s="10" t="s">
        <v>1119</v>
      </c>
      <c r="C878" s="10" t="s">
        <v>78</v>
      </c>
      <c r="D878" s="10" t="s">
        <v>1120</v>
      </c>
      <c r="E878" s="10" t="s">
        <v>1120</v>
      </c>
      <c r="F878" s="10" t="s">
        <v>101</v>
      </c>
      <c r="G878" s="10">
        <v>3.1795200000000003E-2</v>
      </c>
      <c r="H878" s="10" t="s">
        <v>150</v>
      </c>
      <c r="I878" s="10">
        <v>1</v>
      </c>
    </row>
    <row r="879" spans="1:9" x14ac:dyDescent="0.25">
      <c r="A879" s="10">
        <v>5</v>
      </c>
      <c r="B879" s="10" t="s">
        <v>258</v>
      </c>
      <c r="C879" s="10" t="s">
        <v>25</v>
      </c>
      <c r="D879" s="10"/>
      <c r="E879" s="10" t="s">
        <v>178</v>
      </c>
      <c r="F879" s="10" t="s">
        <v>27</v>
      </c>
      <c r="G879" s="10"/>
      <c r="H879" s="10"/>
      <c r="I879" s="10">
        <v>2</v>
      </c>
    </row>
    <row r="880" spans="1:9" x14ac:dyDescent="0.25">
      <c r="A880" s="9">
        <v>4</v>
      </c>
      <c r="B880" s="9" t="s">
        <v>1140</v>
      </c>
      <c r="C880" s="9" t="s">
        <v>70</v>
      </c>
      <c r="D880" s="9"/>
      <c r="E880" s="9" t="s">
        <v>1103</v>
      </c>
      <c r="F880" s="9" t="s">
        <v>297</v>
      </c>
      <c r="G880" s="9">
        <v>0.25542500000000001</v>
      </c>
      <c r="H880" s="9" t="s">
        <v>218</v>
      </c>
      <c r="I880" s="9">
        <v>1</v>
      </c>
    </row>
    <row r="881" spans="1:9" x14ac:dyDescent="0.25">
      <c r="A881" s="9">
        <v>4</v>
      </c>
      <c r="B881" s="9" t="s">
        <v>1141</v>
      </c>
      <c r="C881" s="9" t="s">
        <v>70</v>
      </c>
      <c r="D881" s="9"/>
      <c r="E881" s="9" t="s">
        <v>291</v>
      </c>
      <c r="F881" s="9" t="s">
        <v>292</v>
      </c>
      <c r="G881" s="9">
        <v>3.5471900000000001E-2</v>
      </c>
      <c r="H881" s="9" t="s">
        <v>218</v>
      </c>
      <c r="I881" s="9">
        <v>1</v>
      </c>
    </row>
    <row r="882" spans="1:9" x14ac:dyDescent="0.25">
      <c r="A882" s="9">
        <v>4</v>
      </c>
      <c r="B882" s="9" t="s">
        <v>1142</v>
      </c>
      <c r="C882" s="9" t="s">
        <v>70</v>
      </c>
      <c r="D882" s="9" t="s">
        <v>1128</v>
      </c>
      <c r="E882" s="9" t="s">
        <v>1100</v>
      </c>
      <c r="F882" s="9" t="s">
        <v>612</v>
      </c>
      <c r="G882" s="9">
        <v>0.192298</v>
      </c>
      <c r="H882" s="9" t="s">
        <v>218</v>
      </c>
      <c r="I882" s="9">
        <v>1</v>
      </c>
    </row>
    <row r="883" spans="1:9" x14ac:dyDescent="0.25">
      <c r="A883" s="9">
        <v>4</v>
      </c>
      <c r="B883" s="9" t="s">
        <v>67</v>
      </c>
      <c r="C883" s="9" t="s">
        <v>25</v>
      </c>
      <c r="D883" s="9" t="s">
        <v>68</v>
      </c>
      <c r="E883" s="9" t="s">
        <v>68</v>
      </c>
      <c r="F883" s="9" t="s">
        <v>27</v>
      </c>
      <c r="G883" s="9"/>
      <c r="H883" s="9"/>
      <c r="I883" s="9">
        <v>4</v>
      </c>
    </row>
    <row r="884" spans="1:9" x14ac:dyDescent="0.25">
      <c r="A884" s="9">
        <v>4</v>
      </c>
      <c r="B884" s="9" t="s">
        <v>261</v>
      </c>
      <c r="C884" s="9" t="s">
        <v>25</v>
      </c>
      <c r="D884" s="9"/>
      <c r="E884" s="9" t="s">
        <v>9</v>
      </c>
      <c r="F884" s="9" t="s">
        <v>27</v>
      </c>
      <c r="G884" s="9"/>
      <c r="H884" s="9"/>
      <c r="I884" s="9">
        <v>4</v>
      </c>
    </row>
    <row r="885" spans="1:9" x14ac:dyDescent="0.25">
      <c r="A885" s="10">
        <v>3</v>
      </c>
      <c r="B885" s="10" t="s">
        <v>1143</v>
      </c>
      <c r="C885" s="10" t="s">
        <v>70</v>
      </c>
      <c r="D885" s="10" t="s">
        <v>1144</v>
      </c>
      <c r="E885" s="10" t="s">
        <v>1098</v>
      </c>
      <c r="H885" s="10" t="s">
        <v>218</v>
      </c>
      <c r="I885" s="10">
        <v>1</v>
      </c>
    </row>
    <row r="886" spans="1:9" x14ac:dyDescent="0.25">
      <c r="A886" s="9">
        <v>4</v>
      </c>
      <c r="B886" s="9" t="s">
        <v>1145</v>
      </c>
      <c r="C886" s="9" t="s">
        <v>70</v>
      </c>
      <c r="D886" s="9" t="s">
        <v>1146</v>
      </c>
      <c r="E886" s="9" t="s">
        <v>1146</v>
      </c>
      <c r="F886" s="9" t="s">
        <v>612</v>
      </c>
      <c r="G886" s="9">
        <v>0.39558700000000002</v>
      </c>
      <c r="H886" s="9" t="s">
        <v>218</v>
      </c>
      <c r="I886" s="9">
        <v>1</v>
      </c>
    </row>
    <row r="887" spans="1:9" x14ac:dyDescent="0.25">
      <c r="A887" s="9">
        <v>4</v>
      </c>
      <c r="B887" s="9" t="s">
        <v>1115</v>
      </c>
      <c r="C887" s="9" t="s">
        <v>70</v>
      </c>
      <c r="D887" s="9" t="s">
        <v>1116</v>
      </c>
      <c r="E887" s="9" t="s">
        <v>1116</v>
      </c>
      <c r="H887" s="9" t="s">
        <v>218</v>
      </c>
      <c r="I887" s="9">
        <v>1</v>
      </c>
    </row>
    <row r="888" spans="1:9" x14ac:dyDescent="0.25">
      <c r="A888" s="10">
        <v>5</v>
      </c>
      <c r="B888" s="10" t="s">
        <v>1117</v>
      </c>
      <c r="C888" s="10" t="s">
        <v>25</v>
      </c>
      <c r="D888" s="10" t="s">
        <v>1118</v>
      </c>
      <c r="E888" s="10"/>
      <c r="F888" s="10"/>
      <c r="G888" s="10">
        <v>0</v>
      </c>
      <c r="H888" s="10"/>
      <c r="I888" s="10">
        <v>1</v>
      </c>
    </row>
    <row r="889" spans="1:9" x14ac:dyDescent="0.25">
      <c r="A889" s="10">
        <v>5</v>
      </c>
      <c r="B889" s="10" t="s">
        <v>1119</v>
      </c>
      <c r="C889" s="10" t="s">
        <v>78</v>
      </c>
      <c r="D889" s="10" t="s">
        <v>1120</v>
      </c>
      <c r="E889" s="10" t="s">
        <v>1120</v>
      </c>
      <c r="F889" s="10" t="s">
        <v>101</v>
      </c>
      <c r="G889" s="10">
        <v>3.1795200000000003E-2</v>
      </c>
      <c r="H889" s="10" t="s">
        <v>150</v>
      </c>
      <c r="I889" s="10">
        <v>1</v>
      </c>
    </row>
    <row r="890" spans="1:9" x14ac:dyDescent="0.25">
      <c r="A890" s="10">
        <v>5</v>
      </c>
      <c r="B890" s="10" t="s">
        <v>258</v>
      </c>
      <c r="C890" s="10" t="s">
        <v>25</v>
      </c>
      <c r="D890" s="10"/>
      <c r="E890" s="10" t="s">
        <v>178</v>
      </c>
      <c r="F890" s="10" t="s">
        <v>27</v>
      </c>
      <c r="G890" s="10"/>
      <c r="H890" s="10"/>
      <c r="I890" s="10">
        <v>2</v>
      </c>
    </row>
    <row r="891" spans="1:9" x14ac:dyDescent="0.25">
      <c r="A891" s="9">
        <v>4</v>
      </c>
      <c r="B891" s="9" t="s">
        <v>1147</v>
      </c>
      <c r="C891" s="9" t="s">
        <v>70</v>
      </c>
      <c r="D891" s="9"/>
      <c r="E891" s="9" t="s">
        <v>291</v>
      </c>
      <c r="F891" s="9" t="s">
        <v>292</v>
      </c>
      <c r="G891" s="9">
        <v>5.2312900000000002E-2</v>
      </c>
      <c r="H891" s="9" t="s">
        <v>218</v>
      </c>
      <c r="I891" s="9">
        <v>1</v>
      </c>
    </row>
    <row r="892" spans="1:9" x14ac:dyDescent="0.25">
      <c r="A892" s="9">
        <v>4</v>
      </c>
      <c r="B892" s="9" t="s">
        <v>1148</v>
      </c>
      <c r="C892" s="9" t="s">
        <v>70</v>
      </c>
      <c r="D892" s="9"/>
      <c r="E892" s="9" t="s">
        <v>1103</v>
      </c>
      <c r="F892" s="9" t="s">
        <v>297</v>
      </c>
      <c r="G892" s="9">
        <v>0.52439899999999995</v>
      </c>
      <c r="H892" s="9" t="s">
        <v>218</v>
      </c>
      <c r="I892" s="9">
        <v>1</v>
      </c>
    </row>
    <row r="893" spans="1:9" x14ac:dyDescent="0.25">
      <c r="A893" s="9">
        <v>4</v>
      </c>
      <c r="B893" s="9" t="s">
        <v>49</v>
      </c>
      <c r="C893" s="9" t="s">
        <v>25</v>
      </c>
      <c r="D893" s="9" t="s">
        <v>50</v>
      </c>
      <c r="E893" s="9" t="s">
        <v>50</v>
      </c>
      <c r="F893" s="9" t="s">
        <v>27</v>
      </c>
      <c r="G893" s="9"/>
      <c r="H893" s="9"/>
      <c r="I893" s="9">
        <v>4</v>
      </c>
    </row>
    <row r="894" spans="1:9" x14ac:dyDescent="0.25">
      <c r="A894" s="10">
        <v>3</v>
      </c>
      <c r="B894" s="10" t="s">
        <v>1149</v>
      </c>
      <c r="C894" s="10" t="s">
        <v>70</v>
      </c>
      <c r="D894" s="10" t="s">
        <v>1124</v>
      </c>
      <c r="E894" s="10" t="s">
        <v>1098</v>
      </c>
      <c r="H894" s="10" t="s">
        <v>218</v>
      </c>
      <c r="I894" s="10">
        <v>1</v>
      </c>
    </row>
    <row r="895" spans="1:9" x14ac:dyDescent="0.25">
      <c r="A895" s="9">
        <v>4</v>
      </c>
      <c r="B895" s="9" t="s">
        <v>1115</v>
      </c>
      <c r="C895" s="9" t="s">
        <v>70</v>
      </c>
      <c r="D895" s="9" t="s">
        <v>1116</v>
      </c>
      <c r="E895" s="9" t="s">
        <v>1116</v>
      </c>
      <c r="H895" s="9" t="s">
        <v>218</v>
      </c>
      <c r="I895" s="9">
        <v>1</v>
      </c>
    </row>
    <row r="896" spans="1:9" x14ac:dyDescent="0.25">
      <c r="A896" s="10">
        <v>5</v>
      </c>
      <c r="B896" s="10" t="s">
        <v>1117</v>
      </c>
      <c r="C896" s="10" t="s">
        <v>25</v>
      </c>
      <c r="D896" s="10" t="s">
        <v>1118</v>
      </c>
      <c r="E896" s="10"/>
      <c r="F896" s="10"/>
      <c r="G896" s="10">
        <v>0</v>
      </c>
      <c r="H896" s="10"/>
      <c r="I896" s="10">
        <v>1</v>
      </c>
    </row>
    <row r="897" spans="1:9" x14ac:dyDescent="0.25">
      <c r="A897" s="10">
        <v>5</v>
      </c>
      <c r="B897" s="10" t="s">
        <v>1119</v>
      </c>
      <c r="C897" s="10" t="s">
        <v>78</v>
      </c>
      <c r="D897" s="10" t="s">
        <v>1120</v>
      </c>
      <c r="E897" s="10" t="s">
        <v>1120</v>
      </c>
      <c r="F897" s="10" t="s">
        <v>101</v>
      </c>
      <c r="G897" s="10">
        <v>3.1795200000000003E-2</v>
      </c>
      <c r="H897" s="10" t="s">
        <v>150</v>
      </c>
      <c r="I897" s="10">
        <v>1</v>
      </c>
    </row>
    <row r="898" spans="1:9" x14ac:dyDescent="0.25">
      <c r="A898" s="10">
        <v>5</v>
      </c>
      <c r="B898" s="10" t="s">
        <v>258</v>
      </c>
      <c r="C898" s="10" t="s">
        <v>25</v>
      </c>
      <c r="D898" s="10"/>
      <c r="E898" s="10" t="s">
        <v>178</v>
      </c>
      <c r="F898" s="10" t="s">
        <v>27</v>
      </c>
      <c r="G898" s="10"/>
      <c r="H898" s="10"/>
      <c r="I898" s="10">
        <v>2</v>
      </c>
    </row>
    <row r="899" spans="1:9" x14ac:dyDescent="0.25">
      <c r="A899" s="9">
        <v>4</v>
      </c>
      <c r="B899" s="9" t="s">
        <v>1150</v>
      </c>
      <c r="C899" s="9" t="s">
        <v>70</v>
      </c>
      <c r="D899" s="9"/>
      <c r="E899" s="9" t="s">
        <v>1103</v>
      </c>
      <c r="F899" s="9" t="s">
        <v>297</v>
      </c>
      <c r="G899" s="9">
        <v>0.25206800000000001</v>
      </c>
      <c r="H899" s="9" t="s">
        <v>218</v>
      </c>
      <c r="I899" s="9">
        <v>1</v>
      </c>
    </row>
    <row r="900" spans="1:9" x14ac:dyDescent="0.25">
      <c r="A900" s="9">
        <v>4</v>
      </c>
      <c r="B900" s="9" t="s">
        <v>1151</v>
      </c>
      <c r="C900" s="9" t="s">
        <v>70</v>
      </c>
      <c r="D900" s="9"/>
      <c r="E900" s="9" t="s">
        <v>291</v>
      </c>
      <c r="F900" s="9" t="s">
        <v>292</v>
      </c>
      <c r="G900" s="9">
        <v>3.4909900000000001E-2</v>
      </c>
      <c r="H900" s="9" t="s">
        <v>218</v>
      </c>
      <c r="I900" s="9">
        <v>1</v>
      </c>
    </row>
    <row r="901" spans="1:9" x14ac:dyDescent="0.25">
      <c r="A901" s="9">
        <v>4</v>
      </c>
      <c r="B901" s="9" t="s">
        <v>1152</v>
      </c>
      <c r="C901" s="9" t="s">
        <v>70</v>
      </c>
      <c r="D901" s="9" t="s">
        <v>1128</v>
      </c>
      <c r="E901" s="9" t="s">
        <v>1100</v>
      </c>
      <c r="F901" s="9" t="s">
        <v>612</v>
      </c>
      <c r="G901" s="9">
        <v>0.189725</v>
      </c>
      <c r="H901" s="9" t="s">
        <v>218</v>
      </c>
      <c r="I901" s="9">
        <v>1</v>
      </c>
    </row>
    <row r="902" spans="1:9" x14ac:dyDescent="0.25">
      <c r="A902" s="9">
        <v>4</v>
      </c>
      <c r="B902" s="9" t="s">
        <v>67</v>
      </c>
      <c r="C902" s="9" t="s">
        <v>25</v>
      </c>
      <c r="D902" s="9" t="s">
        <v>68</v>
      </c>
      <c r="E902" s="9" t="s">
        <v>68</v>
      </c>
      <c r="F902" s="9" t="s">
        <v>27</v>
      </c>
      <c r="G902" s="9"/>
      <c r="H902" s="9"/>
      <c r="I902" s="9">
        <v>4</v>
      </c>
    </row>
    <row r="903" spans="1:9" x14ac:dyDescent="0.25">
      <c r="A903" s="9">
        <v>4</v>
      </c>
      <c r="B903" s="9" t="s">
        <v>261</v>
      </c>
      <c r="C903" s="9" t="s">
        <v>25</v>
      </c>
      <c r="D903" s="9"/>
      <c r="E903" s="9" t="s">
        <v>9</v>
      </c>
      <c r="F903" s="9" t="s">
        <v>27</v>
      </c>
      <c r="G903" s="9"/>
      <c r="H903" s="9"/>
      <c r="I903" s="9">
        <v>4</v>
      </c>
    </row>
    <row r="904" spans="1:9" x14ac:dyDescent="0.25">
      <c r="A904" s="9">
        <v>2</v>
      </c>
      <c r="B904" s="9" t="s">
        <v>1153</v>
      </c>
      <c r="C904" s="9" t="s">
        <v>25</v>
      </c>
      <c r="D904" s="9"/>
      <c r="E904" s="9" t="s">
        <v>193</v>
      </c>
      <c r="F904" s="9" t="s">
        <v>101</v>
      </c>
      <c r="G904" s="9">
        <v>0.138625</v>
      </c>
      <c r="H904" s="9"/>
      <c r="I904" s="9">
        <v>1</v>
      </c>
    </row>
    <row r="905" spans="1:9" ht="90" x14ac:dyDescent="0.25">
      <c r="A905" s="9">
        <v>2</v>
      </c>
      <c r="B905" s="9" t="s">
        <v>1154</v>
      </c>
      <c r="C905" s="9" t="s">
        <v>35</v>
      </c>
      <c r="D905" s="11" t="s">
        <v>1155</v>
      </c>
      <c r="E905" s="9" t="s">
        <v>1156</v>
      </c>
      <c r="H905" s="9" t="s">
        <v>218</v>
      </c>
      <c r="I905" s="9">
        <v>1</v>
      </c>
    </row>
    <row r="906" spans="1:9" x14ac:dyDescent="0.25">
      <c r="A906" s="10">
        <v>3</v>
      </c>
      <c r="B906" s="10" t="s">
        <v>1157</v>
      </c>
      <c r="C906" s="10" t="s">
        <v>35</v>
      </c>
      <c r="D906" s="10" t="s">
        <v>1158</v>
      </c>
      <c r="E906" s="10" t="s">
        <v>1159</v>
      </c>
      <c r="F906" s="10" t="s">
        <v>101</v>
      </c>
      <c r="G906" s="10">
        <v>2.5798399999999999E-2</v>
      </c>
      <c r="H906" s="10" t="s">
        <v>102</v>
      </c>
      <c r="I906" s="10">
        <v>1</v>
      </c>
    </row>
    <row r="907" spans="1:9" x14ac:dyDescent="0.25">
      <c r="A907" s="10">
        <v>3</v>
      </c>
      <c r="B907" s="10" t="s">
        <v>1160</v>
      </c>
      <c r="C907" s="10" t="s">
        <v>35</v>
      </c>
      <c r="D907" s="10" t="s">
        <v>1161</v>
      </c>
      <c r="E907" s="10" t="s">
        <v>1161</v>
      </c>
      <c r="F907" s="10" t="s">
        <v>658</v>
      </c>
      <c r="G907" s="10">
        <v>5.6879699999999997E-3</v>
      </c>
      <c r="H907" s="10" t="s">
        <v>150</v>
      </c>
      <c r="I907" s="10">
        <v>1</v>
      </c>
    </row>
    <row r="908" spans="1:9" x14ac:dyDescent="0.25">
      <c r="A908" s="10">
        <v>3</v>
      </c>
      <c r="B908" s="10" t="s">
        <v>1162</v>
      </c>
      <c r="C908" s="10" t="s">
        <v>25</v>
      </c>
      <c r="D908" s="10" t="s">
        <v>483</v>
      </c>
      <c r="E908" s="10" t="s">
        <v>483</v>
      </c>
      <c r="F908" s="10"/>
      <c r="G908" s="10">
        <v>5.56182</v>
      </c>
      <c r="H908" s="10" t="s">
        <v>218</v>
      </c>
      <c r="I908" s="10">
        <v>1</v>
      </c>
    </row>
    <row r="909" spans="1:9" x14ac:dyDescent="0.25">
      <c r="A909" s="10">
        <v>3</v>
      </c>
      <c r="B909" s="10" t="s">
        <v>1163</v>
      </c>
      <c r="C909" s="10" t="s">
        <v>25</v>
      </c>
      <c r="D909" s="10"/>
      <c r="E909" s="10" t="s">
        <v>507</v>
      </c>
      <c r="F909" s="10" t="s">
        <v>27</v>
      </c>
      <c r="G909" s="10"/>
      <c r="H909" s="10"/>
      <c r="I909" s="10">
        <v>1</v>
      </c>
    </row>
    <row r="910" spans="1:9" x14ac:dyDescent="0.25">
      <c r="A910" s="10">
        <v>3</v>
      </c>
      <c r="B910" s="10" t="s">
        <v>508</v>
      </c>
      <c r="C910" s="10" t="s">
        <v>25</v>
      </c>
      <c r="D910" s="10"/>
      <c r="E910" s="10" t="s">
        <v>464</v>
      </c>
      <c r="F910" s="10" t="s">
        <v>27</v>
      </c>
      <c r="G910" s="10"/>
      <c r="H910" s="10"/>
      <c r="I910" s="10">
        <v>1</v>
      </c>
    </row>
    <row r="911" spans="1:9" ht="120" x14ac:dyDescent="0.25">
      <c r="A911" s="10">
        <v>3</v>
      </c>
      <c r="B911" s="10" t="s">
        <v>1164</v>
      </c>
      <c r="C911" s="10" t="s">
        <v>35</v>
      </c>
      <c r="D911" s="12" t="s">
        <v>1165</v>
      </c>
      <c r="E911" s="10" t="s">
        <v>1166</v>
      </c>
      <c r="H911" s="10" t="s">
        <v>218</v>
      </c>
      <c r="I911" s="10">
        <v>1</v>
      </c>
    </row>
    <row r="912" spans="1:9" x14ac:dyDescent="0.25">
      <c r="A912" s="9">
        <v>4</v>
      </c>
      <c r="B912" s="9" t="s">
        <v>56</v>
      </c>
      <c r="C912" s="9" t="s">
        <v>25</v>
      </c>
      <c r="D912" s="9" t="s">
        <v>57</v>
      </c>
      <c r="E912" s="9" t="s">
        <v>57</v>
      </c>
      <c r="F912" s="9" t="s">
        <v>27</v>
      </c>
      <c r="G912" s="9"/>
      <c r="H912" s="9"/>
      <c r="I912" s="9">
        <v>1</v>
      </c>
    </row>
    <row r="913" spans="1:9" x14ac:dyDescent="0.25">
      <c r="A913" s="9">
        <v>4</v>
      </c>
      <c r="B913" s="9" t="s">
        <v>1167</v>
      </c>
      <c r="C913" s="9" t="s">
        <v>35</v>
      </c>
      <c r="D913" s="9" t="s">
        <v>1168</v>
      </c>
      <c r="E913" s="9" t="s">
        <v>22</v>
      </c>
      <c r="F913" s="9"/>
      <c r="G913" s="9">
        <v>17.967199999999998</v>
      </c>
      <c r="H913" s="9" t="s">
        <v>19</v>
      </c>
      <c r="I913" s="9">
        <v>1</v>
      </c>
    </row>
    <row r="914" spans="1:9" x14ac:dyDescent="0.25">
      <c r="A914" s="9">
        <v>4</v>
      </c>
      <c r="B914" s="9" t="s">
        <v>75</v>
      </c>
      <c r="C914" s="9" t="s">
        <v>25</v>
      </c>
      <c r="D914" s="9" t="s">
        <v>76</v>
      </c>
      <c r="E914" s="9" t="s">
        <v>76</v>
      </c>
      <c r="F914" s="9" t="s">
        <v>27</v>
      </c>
      <c r="G914" s="9"/>
      <c r="H914" s="9"/>
      <c r="I914" s="9">
        <v>5</v>
      </c>
    </row>
    <row r="915" spans="1:9" x14ac:dyDescent="0.25">
      <c r="A915" s="9">
        <v>4</v>
      </c>
      <c r="B915" s="9" t="s">
        <v>48</v>
      </c>
      <c r="C915" s="9" t="s">
        <v>25</v>
      </c>
      <c r="D915" s="9"/>
      <c r="E915" s="9" t="s">
        <v>36</v>
      </c>
      <c r="F915" s="9" t="s">
        <v>27</v>
      </c>
      <c r="G915" s="9">
        <v>6.0409799999999996E-3</v>
      </c>
      <c r="H915" s="9"/>
      <c r="I915" s="9">
        <v>6</v>
      </c>
    </row>
    <row r="916" spans="1:9" x14ac:dyDescent="0.25">
      <c r="A916" s="9">
        <v>4</v>
      </c>
      <c r="B916" s="9" t="s">
        <v>49</v>
      </c>
      <c r="C916" s="9" t="s">
        <v>25</v>
      </c>
      <c r="D916" s="9" t="s">
        <v>50</v>
      </c>
      <c r="E916" s="9" t="s">
        <v>50</v>
      </c>
      <c r="F916" s="9" t="s">
        <v>27</v>
      </c>
      <c r="G916" s="9"/>
      <c r="H916" s="9"/>
      <c r="I916" s="9">
        <v>9</v>
      </c>
    </row>
    <row r="917" spans="1:9" x14ac:dyDescent="0.25">
      <c r="A917" s="10">
        <v>3</v>
      </c>
      <c r="B917" s="10" t="s">
        <v>1169</v>
      </c>
      <c r="C917" s="10" t="s">
        <v>54</v>
      </c>
      <c r="D917" s="10" t="s">
        <v>1170</v>
      </c>
      <c r="E917" s="10" t="s">
        <v>1170</v>
      </c>
      <c r="H917" s="10"/>
      <c r="I917" s="10">
        <v>1</v>
      </c>
    </row>
    <row r="918" spans="1:9" x14ac:dyDescent="0.25">
      <c r="A918" s="9">
        <v>4</v>
      </c>
      <c r="B918" s="9" t="s">
        <v>241</v>
      </c>
      <c r="C918" s="9" t="s">
        <v>25</v>
      </c>
      <c r="D918" s="9"/>
      <c r="E918" s="9" t="s">
        <v>178</v>
      </c>
      <c r="F918" s="9" t="s">
        <v>27</v>
      </c>
      <c r="G918" s="9"/>
      <c r="H918" s="9"/>
      <c r="I918" s="9">
        <v>1</v>
      </c>
    </row>
    <row r="919" spans="1:9" x14ac:dyDescent="0.25">
      <c r="A919" s="9">
        <v>4</v>
      </c>
      <c r="B919" s="9" t="s">
        <v>1171</v>
      </c>
      <c r="C919" s="9" t="s">
        <v>25</v>
      </c>
      <c r="D919" s="9"/>
      <c r="E919" s="9" t="s">
        <v>445</v>
      </c>
      <c r="F919" s="9" t="s">
        <v>176</v>
      </c>
      <c r="G919" s="9"/>
      <c r="H919" s="9"/>
      <c r="I919" s="9">
        <v>1</v>
      </c>
    </row>
    <row r="920" spans="1:9" ht="90" x14ac:dyDescent="0.25">
      <c r="A920" s="9">
        <v>4</v>
      </c>
      <c r="B920" s="9" t="s">
        <v>1172</v>
      </c>
      <c r="C920" s="9" t="s">
        <v>54</v>
      </c>
      <c r="D920" s="11" t="s">
        <v>1173</v>
      </c>
      <c r="E920" s="9" t="s">
        <v>1174</v>
      </c>
      <c r="F920" s="9" t="s">
        <v>101</v>
      </c>
      <c r="G920" s="9">
        <v>2.40515E-3</v>
      </c>
      <c r="H920" s="9"/>
      <c r="I920" s="9">
        <v>1</v>
      </c>
    </row>
    <row r="921" spans="1:9" x14ac:dyDescent="0.25">
      <c r="A921" s="9">
        <v>4</v>
      </c>
      <c r="B921" s="9" t="s">
        <v>1175</v>
      </c>
      <c r="C921" s="9" t="s">
        <v>54</v>
      </c>
      <c r="D921" s="9" t="s">
        <v>888</v>
      </c>
      <c r="E921" s="9" t="s">
        <v>888</v>
      </c>
      <c r="F921" s="9" t="s">
        <v>292</v>
      </c>
      <c r="G921" s="9">
        <v>0.70353699999999997</v>
      </c>
      <c r="H921" s="9"/>
      <c r="I921" s="9">
        <v>1</v>
      </c>
    </row>
    <row r="922" spans="1:9" ht="105" x14ac:dyDescent="0.25">
      <c r="A922" s="9">
        <v>4</v>
      </c>
      <c r="B922" s="9" t="s">
        <v>1176</v>
      </c>
      <c r="C922" s="9" t="s">
        <v>54</v>
      </c>
      <c r="D922" s="11" t="s">
        <v>1177</v>
      </c>
      <c r="E922" s="9" t="s">
        <v>1178</v>
      </c>
      <c r="F922" s="9" t="s">
        <v>101</v>
      </c>
      <c r="G922" s="9">
        <v>1.91461E-3</v>
      </c>
      <c r="H922" s="9"/>
      <c r="I922" s="9">
        <v>7</v>
      </c>
    </row>
    <row r="923" spans="1:9" x14ac:dyDescent="0.25">
      <c r="A923" s="10">
        <v>3</v>
      </c>
      <c r="B923" s="10" t="s">
        <v>1179</v>
      </c>
      <c r="C923" s="10" t="s">
        <v>25</v>
      </c>
      <c r="D923" s="10" t="s">
        <v>1180</v>
      </c>
      <c r="E923" s="10" t="s">
        <v>1180</v>
      </c>
      <c r="F923" s="10"/>
      <c r="G923" s="10">
        <v>9.6950400000000006E-2</v>
      </c>
      <c r="H923" s="10"/>
      <c r="I923" s="10">
        <v>1</v>
      </c>
    </row>
    <row r="924" spans="1:9" x14ac:dyDescent="0.25">
      <c r="A924" s="10">
        <v>3</v>
      </c>
      <c r="B924" s="10" t="s">
        <v>1181</v>
      </c>
      <c r="C924" s="10" t="s">
        <v>25</v>
      </c>
      <c r="D924" s="10"/>
      <c r="E924" s="10" t="s">
        <v>7</v>
      </c>
      <c r="F924" s="10" t="s">
        <v>27</v>
      </c>
      <c r="G924" s="10"/>
      <c r="H924" s="10"/>
      <c r="I924" s="10">
        <v>2</v>
      </c>
    </row>
    <row r="925" spans="1:9" x14ac:dyDescent="0.25">
      <c r="A925" s="10">
        <v>3</v>
      </c>
      <c r="B925" s="10" t="s">
        <v>259</v>
      </c>
      <c r="C925" s="10" t="s">
        <v>35</v>
      </c>
      <c r="D925" s="10"/>
      <c r="E925" s="10" t="s">
        <v>260</v>
      </c>
      <c r="F925" s="10" t="s">
        <v>27</v>
      </c>
      <c r="G925" s="10">
        <v>3.5726600000000002E-4</v>
      </c>
      <c r="H925" s="10"/>
      <c r="I925" s="10">
        <v>2</v>
      </c>
    </row>
    <row r="926" spans="1:9" x14ac:dyDescent="0.25">
      <c r="A926" s="10">
        <v>3</v>
      </c>
      <c r="B926" s="10" t="s">
        <v>1182</v>
      </c>
      <c r="C926" s="10" t="s">
        <v>25</v>
      </c>
      <c r="D926" s="10"/>
      <c r="E926" s="10" t="s">
        <v>1183</v>
      </c>
      <c r="F926" s="10" t="s">
        <v>27</v>
      </c>
      <c r="G926" s="10"/>
      <c r="H926" s="10"/>
      <c r="I926" s="10">
        <v>7</v>
      </c>
    </row>
    <row r="927" spans="1:9" x14ac:dyDescent="0.25">
      <c r="A927" s="9">
        <v>2</v>
      </c>
      <c r="B927" s="9" t="s">
        <v>1184</v>
      </c>
      <c r="C927" s="9" t="s">
        <v>25</v>
      </c>
      <c r="D927" s="9" t="s">
        <v>1185</v>
      </c>
      <c r="E927" s="9" t="s">
        <v>1186</v>
      </c>
      <c r="F927" s="9"/>
      <c r="G927" s="9">
        <v>0</v>
      </c>
      <c r="H927" s="9"/>
      <c r="I927" s="9">
        <v>1</v>
      </c>
    </row>
    <row r="928" spans="1:9" x14ac:dyDescent="0.25">
      <c r="A928" s="9">
        <v>2</v>
      </c>
      <c r="B928" s="9" t="s">
        <v>1187</v>
      </c>
      <c r="C928" s="9" t="s">
        <v>25</v>
      </c>
      <c r="D928" s="9" t="s">
        <v>1188</v>
      </c>
      <c r="E928" s="9" t="s">
        <v>1189</v>
      </c>
      <c r="F928" s="9" t="s">
        <v>700</v>
      </c>
      <c r="G928" s="9">
        <v>0.75205619899999998</v>
      </c>
      <c r="H928" s="9"/>
      <c r="I928" s="9">
        <v>1</v>
      </c>
    </row>
    <row r="929" spans="1:9" x14ac:dyDescent="0.25">
      <c r="A929" s="9">
        <v>2</v>
      </c>
      <c r="B929" s="9" t="s">
        <v>1190</v>
      </c>
      <c r="C929" s="9" t="s">
        <v>25</v>
      </c>
      <c r="D929" s="9" t="s">
        <v>1191</v>
      </c>
      <c r="E929" s="9" t="s">
        <v>1191</v>
      </c>
      <c r="F929" s="9"/>
      <c r="G929" s="9">
        <v>0</v>
      </c>
      <c r="H929" s="9"/>
      <c r="I929" s="9">
        <v>1</v>
      </c>
    </row>
    <row r="930" spans="1:9" x14ac:dyDescent="0.25">
      <c r="A930" s="9">
        <v>2</v>
      </c>
      <c r="B930" s="9" t="s">
        <v>1192</v>
      </c>
      <c r="C930" s="9" t="s">
        <v>25</v>
      </c>
      <c r="D930" s="9" t="s">
        <v>1193</v>
      </c>
      <c r="E930" s="9" t="s">
        <v>1194</v>
      </c>
      <c r="F930" s="9"/>
      <c r="G930" s="9">
        <v>0</v>
      </c>
      <c r="H930" s="9"/>
      <c r="I930" s="9">
        <v>1</v>
      </c>
    </row>
    <row r="931" spans="1:9" x14ac:dyDescent="0.25">
      <c r="A931" s="9">
        <v>2</v>
      </c>
      <c r="B931" s="9" t="s">
        <v>1195</v>
      </c>
      <c r="C931" s="9" t="s">
        <v>54</v>
      </c>
      <c r="D931" s="9" t="s">
        <v>1196</v>
      </c>
      <c r="E931" s="9" t="s">
        <v>1196</v>
      </c>
      <c r="F931" s="9" t="s">
        <v>335</v>
      </c>
      <c r="G931" s="9">
        <v>6.2451800000000003E-3</v>
      </c>
      <c r="H931" s="9" t="s">
        <v>1197</v>
      </c>
      <c r="I931" s="9">
        <v>1</v>
      </c>
    </row>
    <row r="932" spans="1:9" x14ac:dyDescent="0.25">
      <c r="A932" s="9">
        <v>2</v>
      </c>
      <c r="B932" s="9" t="s">
        <v>455</v>
      </c>
      <c r="C932" s="9" t="s">
        <v>25</v>
      </c>
      <c r="D932" s="9" t="s">
        <v>456</v>
      </c>
      <c r="E932" s="9" t="s">
        <v>457</v>
      </c>
      <c r="F932" s="9"/>
      <c r="G932" s="9">
        <v>1.20853E-2</v>
      </c>
      <c r="H932" s="9"/>
      <c r="I932" s="9">
        <v>2</v>
      </c>
    </row>
    <row r="933" spans="1:9" x14ac:dyDescent="0.25">
      <c r="A933" s="9">
        <v>2</v>
      </c>
      <c r="B933" s="9" t="s">
        <v>1198</v>
      </c>
      <c r="C933" s="9" t="s">
        <v>227</v>
      </c>
      <c r="D933" s="9" t="s">
        <v>1199</v>
      </c>
      <c r="E933" s="9" t="s">
        <v>1199</v>
      </c>
      <c r="F933" s="9" t="s">
        <v>335</v>
      </c>
      <c r="G933" s="9">
        <v>3.7785699999999998E-2</v>
      </c>
      <c r="H933" s="9" t="s">
        <v>102</v>
      </c>
      <c r="I933" s="9">
        <v>2</v>
      </c>
    </row>
    <row r="934" spans="1:9" x14ac:dyDescent="0.25">
      <c r="A934" s="9">
        <v>2</v>
      </c>
      <c r="B934" s="9" t="s">
        <v>1200</v>
      </c>
      <c r="C934" s="9" t="s">
        <v>25</v>
      </c>
      <c r="D934" s="9"/>
      <c r="E934" s="9" t="s">
        <v>1201</v>
      </c>
      <c r="F934" s="9" t="s">
        <v>335</v>
      </c>
      <c r="G934" s="9"/>
      <c r="H934" s="9"/>
      <c r="I934" s="9">
        <v>4</v>
      </c>
    </row>
    <row r="935" spans="1:9" x14ac:dyDescent="0.25">
      <c r="A935" s="9">
        <v>2</v>
      </c>
      <c r="B935" s="9" t="s">
        <v>1202</v>
      </c>
      <c r="C935" s="9" t="s">
        <v>25</v>
      </c>
      <c r="D935" s="9"/>
      <c r="E935" s="9" t="s">
        <v>5</v>
      </c>
      <c r="F935" s="9" t="s">
        <v>27</v>
      </c>
      <c r="G935" s="9"/>
      <c r="H935" s="9"/>
      <c r="I935" s="9">
        <v>4</v>
      </c>
    </row>
    <row r="936" spans="1:9" x14ac:dyDescent="0.25">
      <c r="A936" s="9">
        <v>2</v>
      </c>
      <c r="B936" s="9" t="s">
        <v>1203</v>
      </c>
      <c r="C936" s="9" t="s">
        <v>25</v>
      </c>
      <c r="D936" s="9"/>
      <c r="E936" s="9" t="s">
        <v>680</v>
      </c>
      <c r="F936" s="9" t="s">
        <v>27</v>
      </c>
      <c r="G936" s="9"/>
      <c r="H936" s="9"/>
      <c r="I936" s="9">
        <v>6</v>
      </c>
    </row>
    <row r="937" spans="1:9" x14ac:dyDescent="0.25">
      <c r="A937" s="9">
        <v>2</v>
      </c>
      <c r="B937" s="9" t="s">
        <v>253</v>
      </c>
      <c r="C937" s="9" t="s">
        <v>25</v>
      </c>
      <c r="D937" s="9" t="s">
        <v>254</v>
      </c>
      <c r="E937" s="9" t="s">
        <v>254</v>
      </c>
      <c r="F937" s="9" t="s">
        <v>27</v>
      </c>
      <c r="G937" s="9"/>
      <c r="H937" s="9"/>
      <c r="I937" s="9">
        <v>13</v>
      </c>
    </row>
    <row r="938" spans="1:9" x14ac:dyDescent="0.25">
      <c r="A938" s="9">
        <v>2</v>
      </c>
      <c r="B938" s="9" t="s">
        <v>1204</v>
      </c>
      <c r="C938" s="9" t="s">
        <v>25</v>
      </c>
      <c r="D938" s="9" t="s">
        <v>1205</v>
      </c>
      <c r="E938" s="9" t="s">
        <v>1205</v>
      </c>
      <c r="F938" s="9"/>
      <c r="G938" s="9">
        <v>0</v>
      </c>
      <c r="H938" s="9"/>
      <c r="I938" s="9">
        <v>26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/>
  <dimension ref="A1"/>
  <sheetViews>
    <sheetView topLeftCell="A31705" workbookViewId="0">
      <selection activeCell="O51" sqref="O51"/>
    </sheetView>
  </sheetViews>
  <sheetFormatPr defaultRowHeight="15" x14ac:dyDescent="0.25"/>
  <sheetData>
    <row r="1" spans="1:1" x14ac:dyDescent="0.25">
      <c r="A1">
        <v>5</v>
      </c>
    </row>
  </sheetData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5121" r:id="rId3" name="Image1">
          <controlPr defaultSize="0" autoLine="0" r:id="rId4">
            <anchor moveWithCells="1">
              <from>
                <xdr:col>8</xdr:col>
                <xdr:colOff>295275</xdr:colOff>
                <xdr:row>8</xdr:row>
                <xdr:rowOff>0</xdr:rowOff>
              </from>
              <to>
                <xdr:col>9</xdr:col>
                <xdr:colOff>76200</xdr:colOff>
                <xdr:row>9</xdr:row>
                <xdr:rowOff>152400</xdr:rowOff>
              </to>
            </anchor>
          </controlPr>
        </control>
      </mc:Choice>
      <mc:Fallback>
        <control shapeId="5121" r:id="rId3" name="Image1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A1:X35"/>
  <sheetViews>
    <sheetView showGridLines="0" zoomScaleNormal="100" workbookViewId="0">
      <selection activeCell="H30" sqref="H30"/>
    </sheetView>
  </sheetViews>
  <sheetFormatPr defaultRowHeight="15" x14ac:dyDescent="0.25"/>
  <cols>
    <col min="1" max="1" width="21.7109375" bestFit="1" customWidth="1"/>
    <col min="2" max="2" width="20.5703125" customWidth="1"/>
    <col min="3" max="3" width="25.140625" bestFit="1" customWidth="1"/>
    <col min="4" max="4" width="22.5703125" bestFit="1" customWidth="1"/>
    <col min="5" max="5" width="24.85546875" bestFit="1" customWidth="1"/>
    <col min="11" max="11" width="12.140625" bestFit="1" customWidth="1"/>
    <col min="12" max="12" width="13.85546875" bestFit="1" customWidth="1"/>
    <col min="13" max="15" width="17.28515625" bestFit="1" customWidth="1"/>
    <col min="16" max="16" width="13.85546875" bestFit="1" customWidth="1"/>
    <col min="17" max="20" width="0" hidden="1" customWidth="1"/>
    <col min="21" max="23" width="9.85546875" hidden="1" customWidth="1"/>
    <col min="24" max="24" width="0" hidden="1" customWidth="1"/>
  </cols>
  <sheetData>
    <row r="1" spans="1:24" x14ac:dyDescent="0.25">
      <c r="K1" s="20"/>
    </row>
    <row r="2" spans="1:24" x14ac:dyDescent="0.25">
      <c r="A2" s="17" t="s">
        <v>1207</v>
      </c>
      <c r="B2" s="18"/>
    </row>
    <row r="3" spans="1:24" x14ac:dyDescent="0.25">
      <c r="A3" s="17" t="s">
        <v>1208</v>
      </c>
      <c r="B3" s="18"/>
    </row>
    <row r="4" spans="1:24" x14ac:dyDescent="0.25">
      <c r="A4" s="19" t="s">
        <v>1209</v>
      </c>
      <c r="B4" s="19" t="s">
        <v>1210</v>
      </c>
      <c r="C4" s="25" t="s">
        <v>1218</v>
      </c>
      <c r="D4" s="25" t="s">
        <v>1219</v>
      </c>
      <c r="E4" s="25" t="s">
        <v>1220</v>
      </c>
    </row>
    <row r="5" spans="1:24" ht="15.75" x14ac:dyDescent="0.25">
      <c r="A5" s="21"/>
      <c r="B5" s="21"/>
      <c r="C5" s="24"/>
      <c r="D5" s="24"/>
      <c r="E5" s="24"/>
    </row>
    <row r="6" spans="1:24" ht="15.75" x14ac:dyDescent="0.25">
      <c r="A6" s="24"/>
      <c r="B6" s="21"/>
      <c r="C6" s="24"/>
      <c r="D6" s="24"/>
      <c r="E6" s="24"/>
    </row>
    <row r="7" spans="1:24" ht="15.75" x14ac:dyDescent="0.25">
      <c r="A7" s="24"/>
      <c r="B7" s="24"/>
      <c r="C7" s="24"/>
      <c r="D7" s="24"/>
      <c r="E7" s="24"/>
    </row>
    <row r="8" spans="1:24" ht="15.75" x14ac:dyDescent="0.25">
      <c r="A8" s="24"/>
      <c r="B8" s="24"/>
      <c r="C8" s="24"/>
      <c r="D8" s="24"/>
      <c r="E8" s="24"/>
    </row>
    <row r="9" spans="1:24" ht="15.75" x14ac:dyDescent="0.25">
      <c r="A9" s="24"/>
      <c r="B9" s="21"/>
      <c r="C9" s="24"/>
      <c r="D9" s="24"/>
      <c r="E9" s="24"/>
    </row>
    <row r="10" spans="1:24" ht="15.75" x14ac:dyDescent="0.25">
      <c r="A10" s="21"/>
      <c r="B10" s="21"/>
      <c r="C10" s="24"/>
      <c r="D10" s="24"/>
      <c r="E10" s="24"/>
    </row>
    <row r="11" spans="1:24" ht="15.75" x14ac:dyDescent="0.25">
      <c r="A11" s="21"/>
      <c r="B11" s="21"/>
      <c r="C11" s="24"/>
      <c r="D11" s="24"/>
      <c r="E11" s="24"/>
    </row>
    <row r="12" spans="1:24" ht="15.75" x14ac:dyDescent="0.25">
      <c r="A12" s="21"/>
      <c r="B12" s="21"/>
      <c r="C12" s="24"/>
      <c r="D12" s="24"/>
      <c r="E12" s="24"/>
      <c r="U12" t="str">
        <f>T13&amp;U13</f>
        <v>-533RFD1</v>
      </c>
      <c r="V12" t="str">
        <f>T13&amp;V13</f>
        <v>-533RFD2</v>
      </c>
      <c r="W12" t="str">
        <f>T13&amp;W13</f>
        <v>-533RFD3</v>
      </c>
    </row>
    <row r="13" spans="1:24" ht="15.75" x14ac:dyDescent="0.25">
      <c r="A13" s="21"/>
      <c r="B13" s="21"/>
      <c r="C13" s="24"/>
      <c r="D13" s="24"/>
      <c r="E13" s="24"/>
      <c r="J13" s="23" t="s">
        <v>1211</v>
      </c>
      <c r="K13" s="22">
        <v>-33</v>
      </c>
      <c r="L13" s="22">
        <v>-533</v>
      </c>
      <c r="M13" s="22" t="s">
        <v>1212</v>
      </c>
      <c r="N13" s="22" t="s">
        <v>1213</v>
      </c>
      <c r="O13" s="22" t="s">
        <v>1214</v>
      </c>
      <c r="P13" s="22">
        <v>-637</v>
      </c>
      <c r="R13" s="20" t="s">
        <v>1211</v>
      </c>
      <c r="S13" s="20">
        <f t="shared" ref="S13:X13" si="0">K13</f>
        <v>-33</v>
      </c>
      <c r="T13" s="20">
        <f t="shared" si="0"/>
        <v>-533</v>
      </c>
      <c r="U13" s="20" t="str">
        <f t="shared" si="0"/>
        <v>RFD1</v>
      </c>
      <c r="V13" s="20" t="str">
        <f t="shared" si="0"/>
        <v>RFD2</v>
      </c>
      <c r="W13" s="20" t="str">
        <f t="shared" si="0"/>
        <v>RFD3</v>
      </c>
      <c r="X13" s="20">
        <f t="shared" si="0"/>
        <v>-637</v>
      </c>
    </row>
    <row r="14" spans="1:24" ht="15.75" x14ac:dyDescent="0.25">
      <c r="A14" s="21"/>
      <c r="B14" s="21"/>
      <c r="C14" s="24"/>
      <c r="D14" s="24"/>
      <c r="E14" s="24"/>
      <c r="K14" s="16" t="s">
        <v>1215</v>
      </c>
      <c r="L14" s="16" t="s">
        <v>1216</v>
      </c>
      <c r="M14" s="16" t="s">
        <v>1212</v>
      </c>
      <c r="N14" s="16" t="s">
        <v>1213</v>
      </c>
      <c r="O14" s="16" t="s">
        <v>1214</v>
      </c>
      <c r="P14" s="16" t="s">
        <v>1217</v>
      </c>
      <c r="R14" s="20">
        <v>1</v>
      </c>
      <c r="S14" s="16">
        <f>S13-2</f>
        <v>-35</v>
      </c>
      <c r="T14" s="16">
        <f>T13-2</f>
        <v>-535</v>
      </c>
      <c r="U14" s="16" t="str">
        <f>$T14&amp;"-"&amp;$U$13</f>
        <v>-535-RFD1</v>
      </c>
      <c r="V14" s="16" t="str">
        <f>$T14&amp;"-"&amp;$V$13</f>
        <v>-535-RFD2</v>
      </c>
      <c r="W14" s="16" t="str">
        <f>$T14&amp;"-"&amp;$W$13</f>
        <v>-535-RFD3</v>
      </c>
      <c r="X14" s="16">
        <f>X13-2</f>
        <v>-639</v>
      </c>
    </row>
    <row r="15" spans="1:24" ht="15.75" x14ac:dyDescent="0.25">
      <c r="A15" s="21"/>
      <c r="B15" s="21"/>
      <c r="C15" s="24"/>
      <c r="D15" s="24"/>
      <c r="E15" s="24"/>
      <c r="K15" t="str">
        <f t="shared" ref="K15:P15" si="1">IF( $K$1&lt;&gt;"",$K$1&amp;S14,"")</f>
        <v/>
      </c>
      <c r="L15" t="str">
        <f t="shared" si="1"/>
        <v/>
      </c>
      <c r="M15" t="str">
        <f t="shared" si="1"/>
        <v/>
      </c>
      <c r="N15" t="str">
        <f t="shared" si="1"/>
        <v/>
      </c>
      <c r="O15" t="str">
        <f t="shared" si="1"/>
        <v/>
      </c>
      <c r="P15" t="str">
        <f t="shared" si="1"/>
        <v/>
      </c>
      <c r="R15" s="20">
        <v>2</v>
      </c>
      <c r="S15" s="16">
        <f t="shared" ref="S15:T30" si="2">S14-2</f>
        <v>-37</v>
      </c>
      <c r="T15" s="16">
        <f t="shared" si="2"/>
        <v>-537</v>
      </c>
      <c r="U15" s="16" t="str">
        <f t="shared" ref="U15:U34" si="3">$T15&amp;"-"&amp;$U$13</f>
        <v>-537-RFD1</v>
      </c>
      <c r="V15" s="16" t="str">
        <f t="shared" ref="V15:V34" si="4">$T15&amp;"-"&amp;$V$13</f>
        <v>-537-RFD2</v>
      </c>
      <c r="W15" s="16" t="str">
        <f t="shared" ref="W15:W34" si="5">$T15&amp;"-"&amp;$W$13</f>
        <v>-537-RFD3</v>
      </c>
      <c r="X15" s="16">
        <f t="shared" ref="X15:X34" si="6">X14-2</f>
        <v>-641</v>
      </c>
    </row>
    <row r="16" spans="1:24" ht="15.75" x14ac:dyDescent="0.25">
      <c r="A16" s="21"/>
      <c r="B16" s="21"/>
      <c r="C16" s="24"/>
      <c r="D16" s="24"/>
      <c r="E16" s="24"/>
      <c r="K16" t="str">
        <f t="shared" ref="K16:K35" si="7">IF( $K$1&lt;&gt;"",$K$1&amp;S15,"")</f>
        <v/>
      </c>
      <c r="L16" t="str">
        <f t="shared" ref="L16:L35" si="8">IF( $K$1&lt;&gt;"",$K$1&amp;T15,"")</f>
        <v/>
      </c>
      <c r="M16" t="str">
        <f t="shared" ref="M16:M35" si="9">IF( $K$1&lt;&gt;"",$K$1&amp;U15,"")</f>
        <v/>
      </c>
      <c r="N16" t="str">
        <f t="shared" ref="N16:N35" si="10">IF( $K$1&lt;&gt;"",$K$1&amp;V15,"")</f>
        <v/>
      </c>
      <c r="O16" t="str">
        <f t="shared" ref="O16:O35" si="11">IF( $K$1&lt;&gt;"",$K$1&amp;W15,"")</f>
        <v/>
      </c>
      <c r="P16" t="str">
        <f t="shared" ref="P16:P35" si="12">IF( $K$1&lt;&gt;"",$K$1&amp;X15,"")</f>
        <v/>
      </c>
      <c r="R16" s="20">
        <v>3</v>
      </c>
      <c r="S16" s="16">
        <f t="shared" si="2"/>
        <v>-39</v>
      </c>
      <c r="T16" s="16">
        <f t="shared" si="2"/>
        <v>-539</v>
      </c>
      <c r="U16" s="16" t="str">
        <f t="shared" si="3"/>
        <v>-539-RFD1</v>
      </c>
      <c r="V16" s="16" t="str">
        <f t="shared" si="4"/>
        <v>-539-RFD2</v>
      </c>
      <c r="W16" s="16" t="str">
        <f t="shared" si="5"/>
        <v>-539-RFD3</v>
      </c>
      <c r="X16" s="16">
        <f t="shared" si="6"/>
        <v>-643</v>
      </c>
    </row>
    <row r="17" spans="1:24" ht="15.75" x14ac:dyDescent="0.25">
      <c r="A17" s="21"/>
      <c r="B17" s="21"/>
      <c r="C17" s="24"/>
      <c r="D17" s="24"/>
      <c r="E17" s="24"/>
      <c r="K17" t="str">
        <f t="shared" si="7"/>
        <v/>
      </c>
      <c r="L17" t="str">
        <f t="shared" si="8"/>
        <v/>
      </c>
      <c r="M17" t="str">
        <f t="shared" si="9"/>
        <v/>
      </c>
      <c r="N17" t="str">
        <f t="shared" si="10"/>
        <v/>
      </c>
      <c r="O17" t="str">
        <f t="shared" si="11"/>
        <v/>
      </c>
      <c r="P17" t="str">
        <f t="shared" si="12"/>
        <v/>
      </c>
      <c r="R17" s="20">
        <v>4</v>
      </c>
      <c r="S17" s="16">
        <f t="shared" si="2"/>
        <v>-41</v>
      </c>
      <c r="T17" s="16">
        <f t="shared" si="2"/>
        <v>-541</v>
      </c>
      <c r="U17" s="16" t="str">
        <f t="shared" si="3"/>
        <v>-541-RFD1</v>
      </c>
      <c r="V17" s="16" t="str">
        <f t="shared" si="4"/>
        <v>-541-RFD2</v>
      </c>
      <c r="W17" s="16" t="str">
        <f t="shared" si="5"/>
        <v>-541-RFD3</v>
      </c>
      <c r="X17" s="16">
        <f t="shared" si="6"/>
        <v>-645</v>
      </c>
    </row>
    <row r="18" spans="1:24" ht="15.75" x14ac:dyDescent="0.25">
      <c r="A18" s="21"/>
      <c r="B18" s="21"/>
      <c r="C18" s="24"/>
      <c r="D18" s="24"/>
      <c r="E18" s="24"/>
      <c r="K18" t="str">
        <f t="shared" si="7"/>
        <v/>
      </c>
      <c r="L18" t="str">
        <f t="shared" si="8"/>
        <v/>
      </c>
      <c r="M18" t="str">
        <f t="shared" si="9"/>
        <v/>
      </c>
      <c r="N18" t="str">
        <f t="shared" si="10"/>
        <v/>
      </c>
      <c r="O18" t="str">
        <f t="shared" si="11"/>
        <v/>
      </c>
      <c r="P18" t="str">
        <f t="shared" si="12"/>
        <v/>
      </c>
      <c r="R18" s="20">
        <v>5</v>
      </c>
      <c r="S18" s="16">
        <f t="shared" si="2"/>
        <v>-43</v>
      </c>
      <c r="T18" s="16">
        <f t="shared" si="2"/>
        <v>-543</v>
      </c>
      <c r="U18" s="16" t="str">
        <f t="shared" si="3"/>
        <v>-543-RFD1</v>
      </c>
      <c r="V18" s="16" t="str">
        <f t="shared" si="4"/>
        <v>-543-RFD2</v>
      </c>
      <c r="W18" s="16" t="str">
        <f t="shared" si="5"/>
        <v>-543-RFD3</v>
      </c>
      <c r="X18" s="16">
        <f t="shared" si="6"/>
        <v>-647</v>
      </c>
    </row>
    <row r="19" spans="1:24" ht="15.75" x14ac:dyDescent="0.25">
      <c r="A19" s="21"/>
      <c r="B19" s="21"/>
      <c r="C19" s="24"/>
      <c r="D19" s="24"/>
      <c r="E19" s="24"/>
      <c r="K19" t="str">
        <f t="shared" si="7"/>
        <v/>
      </c>
      <c r="L19" t="str">
        <f t="shared" si="8"/>
        <v/>
      </c>
      <c r="M19" t="str">
        <f t="shared" si="9"/>
        <v/>
      </c>
      <c r="N19" t="str">
        <f t="shared" si="10"/>
        <v/>
      </c>
      <c r="O19" t="str">
        <f t="shared" si="11"/>
        <v/>
      </c>
      <c r="P19" t="str">
        <f t="shared" si="12"/>
        <v/>
      </c>
      <c r="R19" s="20">
        <v>6</v>
      </c>
      <c r="S19" s="16">
        <f t="shared" si="2"/>
        <v>-45</v>
      </c>
      <c r="T19" s="16">
        <f t="shared" si="2"/>
        <v>-545</v>
      </c>
      <c r="U19" s="16" t="str">
        <f t="shared" si="3"/>
        <v>-545-RFD1</v>
      </c>
      <c r="V19" s="16" t="str">
        <f t="shared" si="4"/>
        <v>-545-RFD2</v>
      </c>
      <c r="W19" s="16" t="str">
        <f t="shared" si="5"/>
        <v>-545-RFD3</v>
      </c>
      <c r="X19" s="16">
        <f t="shared" si="6"/>
        <v>-649</v>
      </c>
    </row>
    <row r="20" spans="1:24" ht="15.75" x14ac:dyDescent="0.25">
      <c r="A20" s="21"/>
      <c r="B20" s="21"/>
      <c r="C20" s="24"/>
      <c r="D20" s="24"/>
      <c r="E20" s="24"/>
      <c r="K20" t="str">
        <f t="shared" si="7"/>
        <v/>
      </c>
      <c r="L20" t="str">
        <f t="shared" si="8"/>
        <v/>
      </c>
      <c r="M20" t="str">
        <f t="shared" si="9"/>
        <v/>
      </c>
      <c r="N20" t="str">
        <f t="shared" si="10"/>
        <v/>
      </c>
      <c r="O20" t="str">
        <f t="shared" si="11"/>
        <v/>
      </c>
      <c r="P20" t="str">
        <f t="shared" si="12"/>
        <v/>
      </c>
      <c r="R20" s="20">
        <v>7</v>
      </c>
      <c r="S20" s="16">
        <f t="shared" si="2"/>
        <v>-47</v>
      </c>
      <c r="T20" s="16">
        <f t="shared" si="2"/>
        <v>-547</v>
      </c>
      <c r="U20" s="16" t="str">
        <f t="shared" si="3"/>
        <v>-547-RFD1</v>
      </c>
      <c r="V20" s="16" t="str">
        <f t="shared" si="4"/>
        <v>-547-RFD2</v>
      </c>
      <c r="W20" s="16" t="str">
        <f t="shared" si="5"/>
        <v>-547-RFD3</v>
      </c>
      <c r="X20" s="16">
        <f t="shared" si="6"/>
        <v>-651</v>
      </c>
    </row>
    <row r="21" spans="1:24" ht="15.75" x14ac:dyDescent="0.25">
      <c r="A21" s="21"/>
      <c r="B21" s="21"/>
      <c r="C21" s="24"/>
      <c r="D21" s="24"/>
      <c r="E21" s="24"/>
      <c r="K21" t="str">
        <f t="shared" si="7"/>
        <v/>
      </c>
      <c r="L21" t="str">
        <f t="shared" si="8"/>
        <v/>
      </c>
      <c r="M21" t="str">
        <f t="shared" si="9"/>
        <v/>
      </c>
      <c r="N21" t="str">
        <f t="shared" si="10"/>
        <v/>
      </c>
      <c r="O21" t="str">
        <f t="shared" si="11"/>
        <v/>
      </c>
      <c r="P21" t="str">
        <f t="shared" si="12"/>
        <v/>
      </c>
      <c r="R21" s="20">
        <v>8</v>
      </c>
      <c r="S21" s="16">
        <f t="shared" si="2"/>
        <v>-49</v>
      </c>
      <c r="T21" s="16">
        <f t="shared" si="2"/>
        <v>-549</v>
      </c>
      <c r="U21" s="16" t="str">
        <f t="shared" si="3"/>
        <v>-549-RFD1</v>
      </c>
      <c r="V21" s="16" t="str">
        <f t="shared" si="4"/>
        <v>-549-RFD2</v>
      </c>
      <c r="W21" s="16" t="str">
        <f t="shared" si="5"/>
        <v>-549-RFD3</v>
      </c>
      <c r="X21" s="16">
        <f t="shared" si="6"/>
        <v>-653</v>
      </c>
    </row>
    <row r="22" spans="1:24" ht="15.75" x14ac:dyDescent="0.25">
      <c r="A22" s="21"/>
      <c r="B22" s="21"/>
      <c r="C22" s="24"/>
      <c r="D22" s="24"/>
      <c r="E22" s="24"/>
      <c r="K22" t="str">
        <f t="shared" si="7"/>
        <v/>
      </c>
      <c r="L22" t="str">
        <f t="shared" si="8"/>
        <v/>
      </c>
      <c r="M22" t="str">
        <f t="shared" si="9"/>
        <v/>
      </c>
      <c r="N22" t="str">
        <f t="shared" si="10"/>
        <v/>
      </c>
      <c r="O22" t="str">
        <f t="shared" si="11"/>
        <v/>
      </c>
      <c r="P22" t="str">
        <f t="shared" si="12"/>
        <v/>
      </c>
      <c r="R22" s="20">
        <v>9</v>
      </c>
      <c r="S22" s="16">
        <f t="shared" si="2"/>
        <v>-51</v>
      </c>
      <c r="T22" s="16">
        <f t="shared" si="2"/>
        <v>-551</v>
      </c>
      <c r="U22" s="16" t="str">
        <f t="shared" si="3"/>
        <v>-551-RFD1</v>
      </c>
      <c r="V22" s="16" t="str">
        <f t="shared" si="4"/>
        <v>-551-RFD2</v>
      </c>
      <c r="W22" s="16" t="str">
        <f t="shared" si="5"/>
        <v>-551-RFD3</v>
      </c>
      <c r="X22" s="16">
        <f t="shared" si="6"/>
        <v>-655</v>
      </c>
    </row>
    <row r="23" spans="1:24" ht="15.75" x14ac:dyDescent="0.25">
      <c r="A23" s="21"/>
      <c r="B23" s="21"/>
      <c r="C23" s="24"/>
      <c r="D23" s="24"/>
      <c r="E23" s="24"/>
      <c r="K23" t="str">
        <f t="shared" si="7"/>
        <v/>
      </c>
      <c r="L23" t="str">
        <f t="shared" si="8"/>
        <v/>
      </c>
      <c r="M23" t="str">
        <f t="shared" si="9"/>
        <v/>
      </c>
      <c r="N23" t="str">
        <f t="shared" si="10"/>
        <v/>
      </c>
      <c r="O23" t="str">
        <f t="shared" si="11"/>
        <v/>
      </c>
      <c r="P23" t="str">
        <f t="shared" si="12"/>
        <v/>
      </c>
      <c r="R23" s="20">
        <v>10</v>
      </c>
      <c r="S23" s="16">
        <f t="shared" si="2"/>
        <v>-53</v>
      </c>
      <c r="T23" s="16">
        <f t="shared" si="2"/>
        <v>-553</v>
      </c>
      <c r="U23" s="16" t="str">
        <f t="shared" si="3"/>
        <v>-553-RFD1</v>
      </c>
      <c r="V23" s="16" t="str">
        <f t="shared" si="4"/>
        <v>-553-RFD2</v>
      </c>
      <c r="W23" s="16" t="str">
        <f t="shared" si="5"/>
        <v>-553-RFD3</v>
      </c>
      <c r="X23" s="16">
        <f t="shared" si="6"/>
        <v>-657</v>
      </c>
    </row>
    <row r="24" spans="1:24" ht="15.75" x14ac:dyDescent="0.25">
      <c r="A24" s="21"/>
      <c r="B24" s="21"/>
      <c r="C24" s="24"/>
      <c r="D24" s="24"/>
      <c r="E24" s="24"/>
      <c r="K24" t="str">
        <f t="shared" si="7"/>
        <v/>
      </c>
      <c r="L24" t="str">
        <f t="shared" si="8"/>
        <v/>
      </c>
      <c r="M24" t="str">
        <f t="shared" si="9"/>
        <v/>
      </c>
      <c r="N24" t="str">
        <f t="shared" si="10"/>
        <v/>
      </c>
      <c r="O24" t="str">
        <f t="shared" si="11"/>
        <v/>
      </c>
      <c r="P24" t="str">
        <f t="shared" si="12"/>
        <v/>
      </c>
      <c r="R24" s="20">
        <v>11</v>
      </c>
      <c r="S24" s="16">
        <f t="shared" si="2"/>
        <v>-55</v>
      </c>
      <c r="T24" s="16">
        <f t="shared" si="2"/>
        <v>-555</v>
      </c>
      <c r="U24" s="16" t="str">
        <f t="shared" si="3"/>
        <v>-555-RFD1</v>
      </c>
      <c r="V24" s="16" t="str">
        <f t="shared" si="4"/>
        <v>-555-RFD2</v>
      </c>
      <c r="W24" s="16" t="str">
        <f t="shared" si="5"/>
        <v>-555-RFD3</v>
      </c>
      <c r="X24" s="16">
        <f t="shared" si="6"/>
        <v>-659</v>
      </c>
    </row>
    <row r="25" spans="1:24" ht="15.75" x14ac:dyDescent="0.25">
      <c r="A25" s="21"/>
      <c r="B25" s="21"/>
      <c r="C25" s="24"/>
      <c r="D25" s="24"/>
      <c r="E25" s="24"/>
      <c r="K25" t="str">
        <f t="shared" si="7"/>
        <v/>
      </c>
      <c r="L25" t="str">
        <f t="shared" si="8"/>
        <v/>
      </c>
      <c r="M25" t="str">
        <f t="shared" si="9"/>
        <v/>
      </c>
      <c r="N25" t="str">
        <f t="shared" si="10"/>
        <v/>
      </c>
      <c r="O25" t="str">
        <f t="shared" si="11"/>
        <v/>
      </c>
      <c r="P25" t="str">
        <f t="shared" si="12"/>
        <v/>
      </c>
      <c r="R25" s="20">
        <v>12</v>
      </c>
      <c r="S25" s="16">
        <f t="shared" si="2"/>
        <v>-57</v>
      </c>
      <c r="T25" s="16">
        <f t="shared" si="2"/>
        <v>-557</v>
      </c>
      <c r="U25" s="16" t="str">
        <f t="shared" si="3"/>
        <v>-557-RFD1</v>
      </c>
      <c r="V25" s="16" t="str">
        <f t="shared" si="4"/>
        <v>-557-RFD2</v>
      </c>
      <c r="W25" s="16" t="str">
        <f t="shared" si="5"/>
        <v>-557-RFD3</v>
      </c>
      <c r="X25" s="16">
        <f t="shared" si="6"/>
        <v>-661</v>
      </c>
    </row>
    <row r="26" spans="1:24" ht="15.75" x14ac:dyDescent="0.25">
      <c r="A26" s="21"/>
      <c r="B26" s="21"/>
      <c r="C26" s="24"/>
      <c r="D26" s="24"/>
      <c r="E26" s="24"/>
      <c r="K26" t="str">
        <f t="shared" si="7"/>
        <v/>
      </c>
      <c r="L26" t="str">
        <f t="shared" si="8"/>
        <v/>
      </c>
      <c r="M26" t="str">
        <f t="shared" si="9"/>
        <v/>
      </c>
      <c r="N26" t="str">
        <f t="shared" si="10"/>
        <v/>
      </c>
      <c r="O26" t="str">
        <f t="shared" si="11"/>
        <v/>
      </c>
      <c r="P26" t="str">
        <f t="shared" si="12"/>
        <v/>
      </c>
      <c r="R26" s="20">
        <v>13</v>
      </c>
      <c r="S26" s="16">
        <f t="shared" si="2"/>
        <v>-59</v>
      </c>
      <c r="T26" s="16">
        <f t="shared" si="2"/>
        <v>-559</v>
      </c>
      <c r="U26" s="16" t="str">
        <f t="shared" si="3"/>
        <v>-559-RFD1</v>
      </c>
      <c r="V26" s="16" t="str">
        <f t="shared" si="4"/>
        <v>-559-RFD2</v>
      </c>
      <c r="W26" s="16" t="str">
        <f t="shared" si="5"/>
        <v>-559-RFD3</v>
      </c>
      <c r="X26" s="16">
        <f t="shared" si="6"/>
        <v>-663</v>
      </c>
    </row>
    <row r="27" spans="1:24" x14ac:dyDescent="0.25">
      <c r="K27" t="str">
        <f t="shared" si="7"/>
        <v/>
      </c>
      <c r="L27" t="str">
        <f t="shared" si="8"/>
        <v/>
      </c>
      <c r="M27" t="str">
        <f t="shared" si="9"/>
        <v/>
      </c>
      <c r="N27" t="str">
        <f t="shared" si="10"/>
        <v/>
      </c>
      <c r="O27" t="str">
        <f t="shared" si="11"/>
        <v/>
      </c>
      <c r="P27" t="str">
        <f t="shared" si="12"/>
        <v/>
      </c>
      <c r="R27" s="20">
        <v>14</v>
      </c>
      <c r="S27" s="16">
        <f t="shared" si="2"/>
        <v>-61</v>
      </c>
      <c r="T27" s="16">
        <f t="shared" si="2"/>
        <v>-561</v>
      </c>
      <c r="U27" s="16" t="str">
        <f t="shared" si="3"/>
        <v>-561-RFD1</v>
      </c>
      <c r="V27" s="16" t="str">
        <f t="shared" si="4"/>
        <v>-561-RFD2</v>
      </c>
      <c r="W27" s="16" t="str">
        <f t="shared" si="5"/>
        <v>-561-RFD3</v>
      </c>
      <c r="X27" s="16">
        <f t="shared" si="6"/>
        <v>-665</v>
      </c>
    </row>
    <row r="28" spans="1:24" x14ac:dyDescent="0.25">
      <c r="K28" t="str">
        <f t="shared" si="7"/>
        <v/>
      </c>
      <c r="L28" t="str">
        <f t="shared" si="8"/>
        <v/>
      </c>
      <c r="M28" t="str">
        <f t="shared" si="9"/>
        <v/>
      </c>
      <c r="N28" t="str">
        <f t="shared" si="10"/>
        <v/>
      </c>
      <c r="O28" t="str">
        <f t="shared" si="11"/>
        <v/>
      </c>
      <c r="P28" t="str">
        <f t="shared" si="12"/>
        <v/>
      </c>
      <c r="R28" s="20">
        <v>15</v>
      </c>
      <c r="S28" s="16">
        <f t="shared" si="2"/>
        <v>-63</v>
      </c>
      <c r="T28" s="16">
        <f t="shared" si="2"/>
        <v>-563</v>
      </c>
      <c r="U28" s="16" t="str">
        <f t="shared" si="3"/>
        <v>-563-RFD1</v>
      </c>
      <c r="V28" s="16" t="str">
        <f t="shared" si="4"/>
        <v>-563-RFD2</v>
      </c>
      <c r="W28" s="16" t="str">
        <f t="shared" si="5"/>
        <v>-563-RFD3</v>
      </c>
      <c r="X28" s="16">
        <f t="shared" si="6"/>
        <v>-667</v>
      </c>
    </row>
    <row r="29" spans="1:24" x14ac:dyDescent="0.25">
      <c r="K29" t="str">
        <f t="shared" si="7"/>
        <v/>
      </c>
      <c r="L29" t="str">
        <f t="shared" si="8"/>
        <v/>
      </c>
      <c r="M29" t="str">
        <f t="shared" si="9"/>
        <v/>
      </c>
      <c r="N29" t="str">
        <f t="shared" si="10"/>
        <v/>
      </c>
      <c r="O29" t="str">
        <f t="shared" si="11"/>
        <v/>
      </c>
      <c r="P29" t="str">
        <f t="shared" si="12"/>
        <v/>
      </c>
      <c r="R29" s="20">
        <v>16</v>
      </c>
      <c r="S29" s="16">
        <f t="shared" si="2"/>
        <v>-65</v>
      </c>
      <c r="T29" s="16">
        <f t="shared" si="2"/>
        <v>-565</v>
      </c>
      <c r="U29" s="16" t="str">
        <f t="shared" si="3"/>
        <v>-565-RFD1</v>
      </c>
      <c r="V29" s="16" t="str">
        <f t="shared" si="4"/>
        <v>-565-RFD2</v>
      </c>
      <c r="W29" s="16" t="str">
        <f t="shared" si="5"/>
        <v>-565-RFD3</v>
      </c>
      <c r="X29" s="16">
        <f t="shared" si="6"/>
        <v>-669</v>
      </c>
    </row>
    <row r="30" spans="1:24" x14ac:dyDescent="0.25">
      <c r="K30" t="str">
        <f t="shared" si="7"/>
        <v/>
      </c>
      <c r="L30" t="str">
        <f t="shared" si="8"/>
        <v/>
      </c>
      <c r="M30" t="str">
        <f t="shared" si="9"/>
        <v/>
      </c>
      <c r="N30" t="str">
        <f t="shared" si="10"/>
        <v/>
      </c>
      <c r="O30" t="str">
        <f t="shared" si="11"/>
        <v/>
      </c>
      <c r="P30" t="str">
        <f t="shared" si="12"/>
        <v/>
      </c>
      <c r="R30" s="20">
        <v>17</v>
      </c>
      <c r="S30" s="16">
        <f t="shared" si="2"/>
        <v>-67</v>
      </c>
      <c r="T30" s="16">
        <f t="shared" si="2"/>
        <v>-567</v>
      </c>
      <c r="U30" s="16" t="str">
        <f t="shared" si="3"/>
        <v>-567-RFD1</v>
      </c>
      <c r="V30" s="16" t="str">
        <f t="shared" si="4"/>
        <v>-567-RFD2</v>
      </c>
      <c r="W30" s="16" t="str">
        <f t="shared" si="5"/>
        <v>-567-RFD3</v>
      </c>
      <c r="X30" s="16">
        <f t="shared" si="6"/>
        <v>-671</v>
      </c>
    </row>
    <row r="31" spans="1:24" x14ac:dyDescent="0.25">
      <c r="K31" t="str">
        <f t="shared" si="7"/>
        <v/>
      </c>
      <c r="L31" t="str">
        <f t="shared" si="8"/>
        <v/>
      </c>
      <c r="M31" t="str">
        <f t="shared" si="9"/>
        <v/>
      </c>
      <c r="N31" t="str">
        <f t="shared" si="10"/>
        <v/>
      </c>
      <c r="O31" t="str">
        <f t="shared" si="11"/>
        <v/>
      </c>
      <c r="P31" t="str">
        <f t="shared" si="12"/>
        <v/>
      </c>
      <c r="R31" s="20">
        <v>18</v>
      </c>
      <c r="S31" s="16">
        <f t="shared" ref="S31:T34" si="13">S30-2</f>
        <v>-69</v>
      </c>
      <c r="T31" s="16">
        <f t="shared" si="13"/>
        <v>-569</v>
      </c>
      <c r="U31" s="16" t="str">
        <f t="shared" si="3"/>
        <v>-569-RFD1</v>
      </c>
      <c r="V31" s="16" t="str">
        <f t="shared" si="4"/>
        <v>-569-RFD2</v>
      </c>
      <c r="W31" s="16" t="str">
        <f t="shared" si="5"/>
        <v>-569-RFD3</v>
      </c>
      <c r="X31" s="16">
        <f t="shared" si="6"/>
        <v>-673</v>
      </c>
    </row>
    <row r="32" spans="1:24" x14ac:dyDescent="0.25">
      <c r="K32" t="str">
        <f t="shared" si="7"/>
        <v/>
      </c>
      <c r="L32" t="str">
        <f t="shared" si="8"/>
        <v/>
      </c>
      <c r="M32" t="str">
        <f t="shared" si="9"/>
        <v/>
      </c>
      <c r="N32" t="str">
        <f t="shared" si="10"/>
        <v/>
      </c>
      <c r="O32" t="str">
        <f t="shared" si="11"/>
        <v/>
      </c>
      <c r="P32" t="str">
        <f t="shared" si="12"/>
        <v/>
      </c>
      <c r="R32" s="20">
        <v>19</v>
      </c>
      <c r="S32" s="16">
        <f t="shared" si="13"/>
        <v>-71</v>
      </c>
      <c r="T32" s="16">
        <f t="shared" si="13"/>
        <v>-571</v>
      </c>
      <c r="U32" s="16" t="str">
        <f t="shared" si="3"/>
        <v>-571-RFD1</v>
      </c>
      <c r="V32" s="16" t="str">
        <f t="shared" si="4"/>
        <v>-571-RFD2</v>
      </c>
      <c r="W32" s="16" t="str">
        <f t="shared" si="5"/>
        <v>-571-RFD3</v>
      </c>
      <c r="X32" s="16">
        <f t="shared" si="6"/>
        <v>-675</v>
      </c>
    </row>
    <row r="33" spans="11:24" x14ac:dyDescent="0.25">
      <c r="K33" t="str">
        <f t="shared" si="7"/>
        <v/>
      </c>
      <c r="L33" t="str">
        <f t="shared" si="8"/>
        <v/>
      </c>
      <c r="M33" t="str">
        <f t="shared" si="9"/>
        <v/>
      </c>
      <c r="N33" t="str">
        <f t="shared" si="10"/>
        <v/>
      </c>
      <c r="O33" t="str">
        <f t="shared" si="11"/>
        <v/>
      </c>
      <c r="P33" t="str">
        <f t="shared" si="12"/>
        <v/>
      </c>
      <c r="R33" s="20">
        <v>20</v>
      </c>
      <c r="S33" s="16">
        <f t="shared" si="13"/>
        <v>-73</v>
      </c>
      <c r="T33" s="16">
        <f t="shared" si="13"/>
        <v>-573</v>
      </c>
      <c r="U33" s="16" t="str">
        <f t="shared" si="3"/>
        <v>-573-RFD1</v>
      </c>
      <c r="V33" s="16" t="str">
        <f t="shared" si="4"/>
        <v>-573-RFD2</v>
      </c>
      <c r="W33" s="16" t="str">
        <f t="shared" si="5"/>
        <v>-573-RFD3</v>
      </c>
      <c r="X33" s="16">
        <f t="shared" si="6"/>
        <v>-677</v>
      </c>
    </row>
    <row r="34" spans="11:24" x14ac:dyDescent="0.25">
      <c r="K34" t="str">
        <f t="shared" si="7"/>
        <v/>
      </c>
      <c r="L34" t="str">
        <f t="shared" si="8"/>
        <v/>
      </c>
      <c r="M34" t="str">
        <f t="shared" si="9"/>
        <v/>
      </c>
      <c r="N34" t="str">
        <f t="shared" si="10"/>
        <v/>
      </c>
      <c r="O34" t="str">
        <f t="shared" si="11"/>
        <v/>
      </c>
      <c r="P34" t="str">
        <f t="shared" si="12"/>
        <v/>
      </c>
      <c r="R34" s="20">
        <v>21</v>
      </c>
      <c r="S34" s="16">
        <v>-77</v>
      </c>
      <c r="T34" s="16">
        <f t="shared" si="13"/>
        <v>-575</v>
      </c>
      <c r="U34" s="16" t="str">
        <f t="shared" si="3"/>
        <v>-575-RFD1</v>
      </c>
      <c r="V34" s="16" t="str">
        <f t="shared" si="4"/>
        <v>-575-RFD2</v>
      </c>
      <c r="W34" s="16" t="str">
        <f t="shared" si="5"/>
        <v>-575-RFD3</v>
      </c>
      <c r="X34" s="16">
        <f t="shared" si="6"/>
        <v>-679</v>
      </c>
    </row>
    <row r="35" spans="11:24" x14ac:dyDescent="0.25">
      <c r="K35" t="str">
        <f t="shared" si="7"/>
        <v/>
      </c>
      <c r="L35" t="str">
        <f t="shared" si="8"/>
        <v/>
      </c>
      <c r="M35" t="str">
        <f t="shared" si="9"/>
        <v/>
      </c>
      <c r="N35" t="str">
        <f t="shared" si="10"/>
        <v/>
      </c>
      <c r="O35" t="str">
        <f t="shared" si="11"/>
        <v/>
      </c>
      <c r="P35" t="str">
        <f t="shared" si="12"/>
        <v/>
      </c>
    </row>
  </sheetData>
  <pageMargins left="0.7" right="0.7" top="0.75" bottom="0.75" header="0.3" footer="0.3"/>
  <pageSetup orientation="portrait" verticalDpi="0" r:id="rId1"/>
  <drawing r:id="rId2"/>
  <legacyDrawing r:id="rId3"/>
  <controls>
    <mc:AlternateContent xmlns:mc="http://schemas.openxmlformats.org/markup-compatibility/2006">
      <mc:Choice Requires="x14">
        <control shapeId="6145" r:id="rId4" name="CommandButton1">
          <controlPr defaultSize="0" autoLine="0" r:id="rId5">
            <anchor moveWithCells="1">
              <from>
                <xdr:col>5</xdr:col>
                <xdr:colOff>295275</xdr:colOff>
                <xdr:row>5</xdr:row>
                <xdr:rowOff>104775</xdr:rowOff>
              </from>
              <to>
                <xdr:col>6</xdr:col>
                <xdr:colOff>28575</xdr:colOff>
                <xdr:row>6</xdr:row>
                <xdr:rowOff>190500</xdr:rowOff>
              </to>
            </anchor>
          </controlPr>
        </control>
      </mc:Choice>
      <mc:Fallback>
        <control shapeId="6145" r:id="rId4" name="CommandButton1"/>
      </mc:Fallback>
    </mc:AlternateContent>
  </controls>
  <tableParts count="2">
    <tablePart r:id="rId6"/>
    <tablePart r:id="rId7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rgb="FF0070C0"/>
  </sheetPr>
  <dimension ref="A1:A14"/>
  <sheetViews>
    <sheetView workbookViewId="0">
      <selection activeCell="C17" sqref="C17"/>
    </sheetView>
  </sheetViews>
  <sheetFormatPr defaultRowHeight="15" x14ac:dyDescent="0.25"/>
  <cols>
    <col min="1" max="1" width="25.28515625" bestFit="1" customWidth="1"/>
    <col min="7" max="7" width="21" bestFit="1" customWidth="1"/>
    <col min="8" max="8" width="19.85546875" bestFit="1" customWidth="1"/>
    <col min="12" max="12" width="12.140625" bestFit="1" customWidth="1"/>
    <col min="13" max="13" width="11.42578125" bestFit="1" customWidth="1"/>
    <col min="14" max="14" width="8.7109375" bestFit="1" customWidth="1"/>
  </cols>
  <sheetData>
    <row r="1" spans="1:1" x14ac:dyDescent="0.25">
      <c r="A1">
        <v>7</v>
      </c>
    </row>
    <row r="2" spans="1:1" ht="15.75" x14ac:dyDescent="0.25">
      <c r="A2" s="27" t="s">
        <v>1221</v>
      </c>
    </row>
    <row r="3" spans="1:1" x14ac:dyDescent="0.25">
      <c r="A3" t="s">
        <v>455</v>
      </c>
    </row>
    <row r="4" spans="1:1" x14ac:dyDescent="0.25">
      <c r="A4" t="s">
        <v>1092</v>
      </c>
    </row>
    <row r="5" spans="1:1" x14ac:dyDescent="0.25">
      <c r="A5" t="s">
        <v>1198</v>
      </c>
    </row>
    <row r="6" spans="1:1" x14ac:dyDescent="0.25">
      <c r="A6" t="s">
        <v>1001</v>
      </c>
    </row>
    <row r="7" spans="1:1" x14ac:dyDescent="0.25">
      <c r="A7" t="s">
        <v>999</v>
      </c>
    </row>
    <row r="8" spans="1:1" x14ac:dyDescent="0.25">
      <c r="A8" t="s">
        <v>1187</v>
      </c>
    </row>
    <row r="9" spans="1:1" x14ac:dyDescent="0.25">
      <c r="A9" t="s">
        <v>1184</v>
      </c>
    </row>
    <row r="10" spans="1:1" x14ac:dyDescent="0.25">
      <c r="A10" t="s">
        <v>1190</v>
      </c>
    </row>
    <row r="11" spans="1:1" x14ac:dyDescent="0.25">
      <c r="A11" t="s">
        <v>1192</v>
      </c>
    </row>
    <row r="12" spans="1:1" x14ac:dyDescent="0.25">
      <c r="A12" t="s">
        <v>1204</v>
      </c>
    </row>
    <row r="13" spans="1:1" x14ac:dyDescent="0.25">
      <c r="A13" s="41" t="s">
        <v>1246</v>
      </c>
    </row>
    <row r="14" spans="1:1" x14ac:dyDescent="0.25">
      <c r="A14" s="45" t="s">
        <v>660</v>
      </c>
    </row>
  </sheetData>
  <pageMargins left="0.7" right="0.7" top="0.75" bottom="0.75" header="0.3" footer="0.3"/>
  <pageSetup orientation="portrait" verticalDpi="0" r:id="rId1"/>
  <tableParts count="1">
    <tablePart r:id="rId2"/>
  </tablePart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">
    <tabColor rgb="FF7030A0"/>
  </sheetPr>
  <dimension ref="A2:Z65"/>
  <sheetViews>
    <sheetView workbookViewId="0">
      <selection activeCell="C18" sqref="C18"/>
    </sheetView>
  </sheetViews>
  <sheetFormatPr defaultRowHeight="15" x14ac:dyDescent="0.25"/>
  <cols>
    <col min="1" max="1" width="21" bestFit="1" customWidth="1"/>
    <col min="2" max="2" width="33.5703125" bestFit="1" customWidth="1"/>
    <col min="11" max="11" width="72.140625" bestFit="1" customWidth="1"/>
    <col min="13" max="13" width="18.28515625" customWidth="1"/>
    <col min="14" max="14" width="53.85546875" bestFit="1" customWidth="1"/>
    <col min="15" max="15" width="13.5703125" customWidth="1"/>
    <col min="16" max="16" width="19.28515625" bestFit="1" customWidth="1"/>
    <col min="17" max="17" width="15.28515625" bestFit="1" customWidth="1"/>
    <col min="18" max="18" width="8.85546875" bestFit="1" customWidth="1"/>
    <col min="19" max="19" width="53.85546875" bestFit="1" customWidth="1"/>
  </cols>
  <sheetData>
    <row r="2" spans="1:26" ht="15.75" x14ac:dyDescent="0.25">
      <c r="A2" s="36" t="s">
        <v>266</v>
      </c>
      <c r="B2" s="37" t="s">
        <v>1223</v>
      </c>
    </row>
    <row r="3" spans="1:26" x14ac:dyDescent="0.25">
      <c r="A3" s="34" t="s">
        <v>1222</v>
      </c>
      <c r="B3" s="34" t="s">
        <v>3350</v>
      </c>
      <c r="K3" t="s">
        <v>3266</v>
      </c>
    </row>
    <row r="4" spans="1:26" x14ac:dyDescent="0.25">
      <c r="A4" s="34" t="s">
        <v>1224</v>
      </c>
      <c r="B4" s="34" t="s">
        <v>1245</v>
      </c>
      <c r="K4" t="s">
        <v>3267</v>
      </c>
      <c r="M4" s="16" t="s">
        <v>267</v>
      </c>
      <c r="N4" s="16" t="s">
        <v>3329</v>
      </c>
      <c r="O4" s="16" t="s">
        <v>265</v>
      </c>
      <c r="P4" s="16" t="s">
        <v>3330</v>
      </c>
      <c r="Q4" s="16" t="s">
        <v>3333</v>
      </c>
    </row>
    <row r="5" spans="1:26" x14ac:dyDescent="0.25">
      <c r="A5" s="34" t="s">
        <v>1225</v>
      </c>
      <c r="B5" s="34"/>
      <c r="K5" t="s">
        <v>3268</v>
      </c>
      <c r="M5" t="s">
        <v>3273</v>
      </c>
      <c r="N5" t="s">
        <v>3272</v>
      </c>
      <c r="O5" t="s">
        <v>3274</v>
      </c>
      <c r="P5" s="43"/>
      <c r="Q5" s="43" t="s">
        <v>3334</v>
      </c>
    </row>
    <row r="6" spans="1:26" x14ac:dyDescent="0.25">
      <c r="A6" s="34" t="s">
        <v>1226</v>
      </c>
      <c r="B6" s="34"/>
      <c r="K6" t="s">
        <v>3269</v>
      </c>
      <c r="M6" t="s">
        <v>3276</v>
      </c>
      <c r="N6" t="s">
        <v>3275</v>
      </c>
      <c r="O6" t="s">
        <v>3274</v>
      </c>
      <c r="P6" s="43"/>
      <c r="Q6" s="43" t="s">
        <v>3334</v>
      </c>
    </row>
    <row r="7" spans="1:26" x14ac:dyDescent="0.25">
      <c r="A7" s="35" t="s">
        <v>1231</v>
      </c>
      <c r="B7" s="35"/>
      <c r="K7" t="s">
        <v>3270</v>
      </c>
      <c r="M7" t="s">
        <v>3278</v>
      </c>
      <c r="N7" t="s">
        <v>3277</v>
      </c>
      <c r="O7" t="s">
        <v>3279</v>
      </c>
      <c r="P7" s="43"/>
      <c r="Q7" s="43" t="s">
        <v>3334</v>
      </c>
    </row>
    <row r="8" spans="1:26" x14ac:dyDescent="0.25">
      <c r="A8" s="35" t="s">
        <v>1227</v>
      </c>
      <c r="B8" s="35" t="s">
        <v>3265</v>
      </c>
      <c r="K8" t="s">
        <v>3271</v>
      </c>
      <c r="M8" t="s">
        <v>3281</v>
      </c>
      <c r="N8" t="s">
        <v>3280</v>
      </c>
      <c r="O8" t="s">
        <v>3282</v>
      </c>
      <c r="P8" s="43"/>
      <c r="Q8" s="43" t="s">
        <v>3334</v>
      </c>
    </row>
    <row r="9" spans="1:26" x14ac:dyDescent="0.25">
      <c r="A9" s="35" t="s">
        <v>1228</v>
      </c>
      <c r="B9" s="35"/>
      <c r="M9" t="s">
        <v>3284</v>
      </c>
      <c r="N9" t="s">
        <v>3283</v>
      </c>
      <c r="O9" t="s">
        <v>3285</v>
      </c>
      <c r="P9" s="43"/>
      <c r="Q9" s="43" t="s">
        <v>3334</v>
      </c>
    </row>
    <row r="10" spans="1:26" x14ac:dyDescent="0.25">
      <c r="A10" s="35" t="s">
        <v>1230</v>
      </c>
      <c r="B10" s="35"/>
      <c r="K10" t="s">
        <v>3272</v>
      </c>
      <c r="M10" t="s">
        <v>3287</v>
      </c>
      <c r="N10" t="s">
        <v>3286</v>
      </c>
      <c r="O10" t="s">
        <v>3274</v>
      </c>
      <c r="P10" s="43"/>
      <c r="Q10" s="43" t="s">
        <v>3334</v>
      </c>
      <c r="X10" t="s">
        <v>3273</v>
      </c>
      <c r="Y10" t="s">
        <v>3272</v>
      </c>
      <c r="Z10" t="s">
        <v>3274</v>
      </c>
    </row>
    <row r="11" spans="1:26" x14ac:dyDescent="0.25">
      <c r="A11" s="35" t="s">
        <v>1229</v>
      </c>
      <c r="B11" s="35"/>
      <c r="K11" t="s">
        <v>3273</v>
      </c>
      <c r="M11" t="s">
        <v>3289</v>
      </c>
      <c r="N11" t="s">
        <v>3288</v>
      </c>
      <c r="O11" t="s">
        <v>3279</v>
      </c>
      <c r="P11" s="43"/>
      <c r="Q11" s="43" t="s">
        <v>3334</v>
      </c>
      <c r="X11" t="s">
        <v>3276</v>
      </c>
      <c r="Y11" t="s">
        <v>3275</v>
      </c>
      <c r="Z11" t="s">
        <v>3274</v>
      </c>
    </row>
    <row r="12" spans="1:26" x14ac:dyDescent="0.25">
      <c r="A12" s="35" t="s">
        <v>1247</v>
      </c>
      <c r="B12" s="35"/>
      <c r="K12" t="s">
        <v>3274</v>
      </c>
      <c r="M12" t="s">
        <v>3291</v>
      </c>
      <c r="N12" t="s">
        <v>3290</v>
      </c>
      <c r="O12" t="s">
        <v>3282</v>
      </c>
      <c r="P12" s="43"/>
      <c r="Q12" s="43" t="s">
        <v>3334</v>
      </c>
      <c r="X12" t="s">
        <v>3278</v>
      </c>
      <c r="Y12" t="s">
        <v>3277</v>
      </c>
      <c r="Z12" t="s">
        <v>3279</v>
      </c>
    </row>
    <row r="13" spans="1:26" x14ac:dyDescent="0.25">
      <c r="A13" s="35" t="s">
        <v>3337</v>
      </c>
      <c r="B13" s="35" t="s">
        <v>3338</v>
      </c>
      <c r="K13" t="s">
        <v>3275</v>
      </c>
      <c r="M13" t="s">
        <v>3293</v>
      </c>
      <c r="N13" t="s">
        <v>3292</v>
      </c>
      <c r="O13" t="s">
        <v>3274</v>
      </c>
      <c r="P13" s="43"/>
      <c r="Q13" s="43" t="s">
        <v>3334</v>
      </c>
      <c r="X13" t="s">
        <v>3281</v>
      </c>
      <c r="Y13" t="s">
        <v>3280</v>
      </c>
      <c r="Z13" t="s">
        <v>3282</v>
      </c>
    </row>
    <row r="14" spans="1:26" x14ac:dyDescent="0.25">
      <c r="K14" t="s">
        <v>3276</v>
      </c>
      <c r="M14" t="s">
        <v>3295</v>
      </c>
      <c r="N14" t="s">
        <v>3294</v>
      </c>
      <c r="O14" t="s">
        <v>3279</v>
      </c>
      <c r="P14" s="43"/>
      <c r="Q14" s="43" t="s">
        <v>3334</v>
      </c>
      <c r="X14" t="s">
        <v>3284</v>
      </c>
      <c r="Y14" t="s">
        <v>3283</v>
      </c>
      <c r="Z14" t="s">
        <v>3285</v>
      </c>
    </row>
    <row r="15" spans="1:26" x14ac:dyDescent="0.25">
      <c r="K15" t="s">
        <v>3274</v>
      </c>
      <c r="M15" t="s">
        <v>3297</v>
      </c>
      <c r="N15" t="s">
        <v>3296</v>
      </c>
      <c r="O15" t="s">
        <v>3282</v>
      </c>
      <c r="P15" s="43"/>
      <c r="Q15" s="43" t="s">
        <v>3334</v>
      </c>
      <c r="X15" t="s">
        <v>3287</v>
      </c>
      <c r="Y15" t="s">
        <v>3286</v>
      </c>
      <c r="Z15" t="s">
        <v>3274</v>
      </c>
    </row>
    <row r="16" spans="1:26" x14ac:dyDescent="0.25">
      <c r="K16" t="s">
        <v>3277</v>
      </c>
      <c r="M16" t="s">
        <v>3299</v>
      </c>
      <c r="N16" t="s">
        <v>3298</v>
      </c>
      <c r="O16" t="s">
        <v>3300</v>
      </c>
      <c r="P16" s="43"/>
      <c r="Q16" s="43" t="s">
        <v>3334</v>
      </c>
      <c r="X16" t="s">
        <v>3289</v>
      </c>
      <c r="Y16" t="s">
        <v>3288</v>
      </c>
      <c r="Z16" t="s">
        <v>3279</v>
      </c>
    </row>
    <row r="17" spans="11:26" x14ac:dyDescent="0.25">
      <c r="K17" t="s">
        <v>3278</v>
      </c>
      <c r="M17" t="s">
        <v>3302</v>
      </c>
      <c r="N17" t="s">
        <v>3301</v>
      </c>
      <c r="O17" t="s">
        <v>3285</v>
      </c>
      <c r="P17" s="43"/>
      <c r="Q17" s="43" t="s">
        <v>3334</v>
      </c>
      <c r="X17" t="s">
        <v>3291</v>
      </c>
      <c r="Y17" t="s">
        <v>3290</v>
      </c>
      <c r="Z17" t="s">
        <v>3282</v>
      </c>
    </row>
    <row r="18" spans="11:26" x14ac:dyDescent="0.25">
      <c r="K18" t="s">
        <v>3279</v>
      </c>
      <c r="M18" t="s">
        <v>3304</v>
      </c>
      <c r="N18" t="s">
        <v>3303</v>
      </c>
      <c r="O18" t="s">
        <v>3279</v>
      </c>
      <c r="P18" s="43"/>
      <c r="Q18" s="43" t="s">
        <v>3334</v>
      </c>
      <c r="X18" t="s">
        <v>3293</v>
      </c>
      <c r="Y18" t="s">
        <v>3292</v>
      </c>
      <c r="Z18" t="s">
        <v>3274</v>
      </c>
    </row>
    <row r="19" spans="11:26" x14ac:dyDescent="0.25">
      <c r="K19" t="s">
        <v>3280</v>
      </c>
      <c r="M19" t="s">
        <v>3306</v>
      </c>
      <c r="N19" t="s">
        <v>3305</v>
      </c>
      <c r="O19" t="s">
        <v>3282</v>
      </c>
      <c r="P19" s="43"/>
      <c r="Q19" s="43" t="s">
        <v>3334</v>
      </c>
      <c r="X19" t="s">
        <v>3295</v>
      </c>
      <c r="Y19" t="s">
        <v>3294</v>
      </c>
      <c r="Z19" t="s">
        <v>3279</v>
      </c>
    </row>
    <row r="20" spans="11:26" x14ac:dyDescent="0.25">
      <c r="K20" t="s">
        <v>3281</v>
      </c>
      <c r="M20" t="s">
        <v>3308</v>
      </c>
      <c r="N20" t="s">
        <v>3307</v>
      </c>
      <c r="O20" t="s">
        <v>3285</v>
      </c>
      <c r="P20" s="43"/>
      <c r="Q20" s="43" t="s">
        <v>3334</v>
      </c>
      <c r="X20" t="s">
        <v>3297</v>
      </c>
      <c r="Y20" t="s">
        <v>3296</v>
      </c>
      <c r="Z20" t="s">
        <v>3282</v>
      </c>
    </row>
    <row r="21" spans="11:26" x14ac:dyDescent="0.25">
      <c r="K21" t="s">
        <v>3282</v>
      </c>
      <c r="M21" t="s">
        <v>3310</v>
      </c>
      <c r="N21" t="s">
        <v>3309</v>
      </c>
      <c r="O21" t="s">
        <v>3300</v>
      </c>
      <c r="P21" s="43"/>
      <c r="Q21" s="43" t="s">
        <v>3334</v>
      </c>
      <c r="X21" t="s">
        <v>3299</v>
      </c>
      <c r="Y21" t="s">
        <v>3298</v>
      </c>
      <c r="Z21" t="s">
        <v>3300</v>
      </c>
    </row>
    <row r="22" spans="11:26" x14ac:dyDescent="0.25">
      <c r="K22" t="s">
        <v>3283</v>
      </c>
      <c r="M22" t="s">
        <v>3312</v>
      </c>
      <c r="N22" t="s">
        <v>3311</v>
      </c>
      <c r="O22" t="s">
        <v>3274</v>
      </c>
      <c r="P22" s="43"/>
      <c r="Q22" s="43" t="s">
        <v>3334</v>
      </c>
      <c r="X22" t="s">
        <v>3302</v>
      </c>
      <c r="Y22" t="s">
        <v>3301</v>
      </c>
      <c r="Z22" t="s">
        <v>3285</v>
      </c>
    </row>
    <row r="23" spans="11:26" x14ac:dyDescent="0.25">
      <c r="K23" t="s">
        <v>3284</v>
      </c>
      <c r="M23" t="s">
        <v>3314</v>
      </c>
      <c r="N23" t="s">
        <v>3313</v>
      </c>
      <c r="O23" t="s">
        <v>3282</v>
      </c>
      <c r="P23" s="43"/>
      <c r="Q23" s="43" t="s">
        <v>3334</v>
      </c>
      <c r="X23" t="s">
        <v>3304</v>
      </c>
      <c r="Y23" t="s">
        <v>3303</v>
      </c>
      <c r="Z23" t="s">
        <v>3279</v>
      </c>
    </row>
    <row r="24" spans="11:26" x14ac:dyDescent="0.25">
      <c r="K24" t="s">
        <v>3285</v>
      </c>
      <c r="M24" t="s">
        <v>3316</v>
      </c>
      <c r="N24" t="s">
        <v>3315</v>
      </c>
      <c r="O24" t="s">
        <v>3285</v>
      </c>
      <c r="P24" s="43"/>
      <c r="Q24" s="43" t="s">
        <v>3334</v>
      </c>
      <c r="X24" t="s">
        <v>3306</v>
      </c>
      <c r="Y24" t="s">
        <v>3305</v>
      </c>
      <c r="Z24" t="s">
        <v>3282</v>
      </c>
    </row>
    <row r="25" spans="11:26" x14ac:dyDescent="0.25">
      <c r="K25" t="s">
        <v>3286</v>
      </c>
      <c r="M25" s="43" t="s">
        <v>3321</v>
      </c>
      <c r="N25" s="43" t="s">
        <v>3318</v>
      </c>
      <c r="O25" s="43" t="s">
        <v>3319</v>
      </c>
      <c r="P25" s="43"/>
      <c r="Q25" s="43" t="s">
        <v>3335</v>
      </c>
      <c r="X25" t="s">
        <v>3308</v>
      </c>
      <c r="Y25" t="s">
        <v>3307</v>
      </c>
      <c r="Z25" t="s">
        <v>3285</v>
      </c>
    </row>
    <row r="26" spans="11:26" x14ac:dyDescent="0.25">
      <c r="K26" t="s">
        <v>3287</v>
      </c>
      <c r="M26" s="43" t="s">
        <v>3321</v>
      </c>
      <c r="N26" s="43" t="s">
        <v>3320</v>
      </c>
      <c r="O26" s="43" t="s">
        <v>3319</v>
      </c>
      <c r="P26" s="43"/>
      <c r="Q26" s="43" t="s">
        <v>3335</v>
      </c>
      <c r="X26" t="s">
        <v>3310</v>
      </c>
      <c r="Y26" t="s">
        <v>3309</v>
      </c>
      <c r="Z26" t="s">
        <v>3300</v>
      </c>
    </row>
    <row r="27" spans="11:26" x14ac:dyDescent="0.25">
      <c r="K27" t="s">
        <v>3274</v>
      </c>
      <c r="M27" s="43" t="s">
        <v>3321</v>
      </c>
      <c r="N27" s="43" t="s">
        <v>3323</v>
      </c>
      <c r="O27" s="43" t="s">
        <v>3319</v>
      </c>
      <c r="P27" s="43"/>
      <c r="Q27" s="43" t="s">
        <v>3335</v>
      </c>
      <c r="X27" t="s">
        <v>3312</v>
      </c>
      <c r="Y27" t="s">
        <v>3311</v>
      </c>
      <c r="Z27" t="s">
        <v>3274</v>
      </c>
    </row>
    <row r="28" spans="11:26" x14ac:dyDescent="0.25">
      <c r="K28" t="s">
        <v>3288</v>
      </c>
      <c r="M28" s="43" t="s">
        <v>3326</v>
      </c>
      <c r="N28" s="43" t="s">
        <v>3324</v>
      </c>
      <c r="O28" s="43" t="s">
        <v>3319</v>
      </c>
      <c r="P28" s="43"/>
      <c r="Q28" s="43" t="s">
        <v>3335</v>
      </c>
      <c r="X28" t="s">
        <v>3314</v>
      </c>
      <c r="Y28" t="s">
        <v>3313</v>
      </c>
      <c r="Z28" t="s">
        <v>3282</v>
      </c>
    </row>
    <row r="29" spans="11:26" x14ac:dyDescent="0.25">
      <c r="K29" t="s">
        <v>3289</v>
      </c>
      <c r="M29" s="43" t="s">
        <v>3326</v>
      </c>
      <c r="N29" s="43" t="s">
        <v>3325</v>
      </c>
      <c r="O29" s="43" t="s">
        <v>3319</v>
      </c>
      <c r="P29" s="43"/>
      <c r="Q29" s="43" t="s">
        <v>3335</v>
      </c>
      <c r="X29" t="s">
        <v>3316</v>
      </c>
      <c r="Y29" t="s">
        <v>3315</v>
      </c>
      <c r="Z29" t="s">
        <v>3285</v>
      </c>
    </row>
    <row r="30" spans="11:26" x14ac:dyDescent="0.25">
      <c r="K30" t="s">
        <v>3279</v>
      </c>
      <c r="M30" s="44" t="s">
        <v>3326</v>
      </c>
      <c r="N30" s="44" t="s">
        <v>3328</v>
      </c>
      <c r="O30" s="44" t="s">
        <v>3319</v>
      </c>
      <c r="P30" s="44"/>
      <c r="Q30" s="43" t="s">
        <v>3335</v>
      </c>
    </row>
    <row r="31" spans="11:26" x14ac:dyDescent="0.25">
      <c r="K31" t="s">
        <v>3290</v>
      </c>
      <c r="M31" s="44" t="s">
        <v>3332</v>
      </c>
      <c r="N31" s="44" t="s">
        <v>3331</v>
      </c>
      <c r="O31" s="44" t="s">
        <v>3319</v>
      </c>
      <c r="P31" s="44"/>
      <c r="Q31" s="43" t="s">
        <v>3334</v>
      </c>
    </row>
    <row r="32" spans="11:26" x14ac:dyDescent="0.25">
      <c r="K32" t="s">
        <v>3292</v>
      </c>
    </row>
    <row r="33" spans="11:15" x14ac:dyDescent="0.25">
      <c r="K33" t="s">
        <v>3294</v>
      </c>
    </row>
    <row r="34" spans="11:15" x14ac:dyDescent="0.25">
      <c r="K34" t="s">
        <v>3296</v>
      </c>
    </row>
    <row r="35" spans="11:15" x14ac:dyDescent="0.25">
      <c r="K35" t="s">
        <v>3298</v>
      </c>
    </row>
    <row r="36" spans="11:15" x14ac:dyDescent="0.25">
      <c r="K36" t="s">
        <v>3301</v>
      </c>
    </row>
    <row r="37" spans="11:15" x14ac:dyDescent="0.25">
      <c r="K37" t="s">
        <v>3303</v>
      </c>
    </row>
    <row r="38" spans="11:15" x14ac:dyDescent="0.25">
      <c r="K38" t="s">
        <v>3305</v>
      </c>
    </row>
    <row r="39" spans="11:15" x14ac:dyDescent="0.25">
      <c r="K39" t="s">
        <v>3307</v>
      </c>
    </row>
    <row r="40" spans="11:15" x14ac:dyDescent="0.25">
      <c r="K40" t="s">
        <v>3309</v>
      </c>
    </row>
    <row r="41" spans="11:15" x14ac:dyDescent="0.25">
      <c r="K41" t="s">
        <v>3311</v>
      </c>
    </row>
    <row r="42" spans="11:15" x14ac:dyDescent="0.25">
      <c r="K42" t="s">
        <v>3313</v>
      </c>
    </row>
    <row r="43" spans="11:15" x14ac:dyDescent="0.25">
      <c r="K43" t="s">
        <v>3315</v>
      </c>
    </row>
    <row r="44" spans="11:15" x14ac:dyDescent="0.25">
      <c r="K44" t="s">
        <v>3317</v>
      </c>
      <c r="M44" t="s">
        <v>3317</v>
      </c>
      <c r="N44" t="s">
        <v>3318</v>
      </c>
      <c r="O44" t="s">
        <v>3319</v>
      </c>
    </row>
    <row r="45" spans="11:15" x14ac:dyDescent="0.25">
      <c r="K45" t="s">
        <v>3318</v>
      </c>
      <c r="N45" t="s">
        <v>3319</v>
      </c>
      <c r="O45" t="s">
        <v>3320</v>
      </c>
    </row>
    <row r="46" spans="11:15" x14ac:dyDescent="0.25">
      <c r="K46" t="s">
        <v>3319</v>
      </c>
      <c r="M46" t="s">
        <v>3319</v>
      </c>
      <c r="N46" t="s">
        <v>3320</v>
      </c>
      <c r="O46" t="s">
        <v>3321</v>
      </c>
    </row>
    <row r="47" spans="11:15" x14ac:dyDescent="0.25">
      <c r="K47" t="s">
        <v>3320</v>
      </c>
      <c r="N47" t="s">
        <v>3321</v>
      </c>
      <c r="O47" t="s">
        <v>3322</v>
      </c>
    </row>
    <row r="48" spans="11:15" x14ac:dyDescent="0.25">
      <c r="K48" t="s">
        <v>3321</v>
      </c>
      <c r="M48" t="s">
        <v>3321</v>
      </c>
      <c r="N48" t="s">
        <v>3322</v>
      </c>
      <c r="O48" t="s">
        <v>3323</v>
      </c>
    </row>
    <row r="49" spans="11:16" x14ac:dyDescent="0.25">
      <c r="K49" t="s">
        <v>3322</v>
      </c>
      <c r="M49" t="s">
        <v>3322</v>
      </c>
      <c r="N49" t="s">
        <v>3323</v>
      </c>
      <c r="O49" t="s">
        <v>3319</v>
      </c>
    </row>
    <row r="50" spans="11:16" x14ac:dyDescent="0.25">
      <c r="K50" t="s">
        <v>3323</v>
      </c>
      <c r="N50" t="s">
        <v>3319</v>
      </c>
      <c r="O50" t="s">
        <v>3324</v>
      </c>
    </row>
    <row r="51" spans="11:16" x14ac:dyDescent="0.25">
      <c r="K51" t="s">
        <v>3319</v>
      </c>
      <c r="M51" t="s">
        <v>3319</v>
      </c>
      <c r="N51" t="s">
        <v>3324</v>
      </c>
      <c r="O51" t="s">
        <v>3319</v>
      </c>
    </row>
    <row r="52" spans="11:16" x14ac:dyDescent="0.25">
      <c r="K52" t="s">
        <v>3324</v>
      </c>
      <c r="N52" t="s">
        <v>3319</v>
      </c>
      <c r="O52" t="s">
        <v>3325</v>
      </c>
    </row>
    <row r="53" spans="11:16" x14ac:dyDescent="0.25">
      <c r="K53" t="s">
        <v>3319</v>
      </c>
      <c r="M53" t="s">
        <v>3319</v>
      </c>
      <c r="N53" t="s">
        <v>3325</v>
      </c>
      <c r="O53" t="s">
        <v>3326</v>
      </c>
    </row>
    <row r="54" spans="11:16" x14ac:dyDescent="0.25">
      <c r="K54" t="s">
        <v>3325</v>
      </c>
      <c r="N54" t="s">
        <v>3326</v>
      </c>
      <c r="O54" t="s">
        <v>3327</v>
      </c>
    </row>
    <row r="55" spans="11:16" x14ac:dyDescent="0.25">
      <c r="K55" t="s">
        <v>3326</v>
      </c>
      <c r="M55" t="s">
        <v>3326</v>
      </c>
      <c r="N55" t="s">
        <v>3327</v>
      </c>
      <c r="O55" t="s">
        <v>3328</v>
      </c>
    </row>
    <row r="56" spans="11:16" x14ac:dyDescent="0.25">
      <c r="K56" t="s">
        <v>3327</v>
      </c>
      <c r="M56" t="s">
        <v>3327</v>
      </c>
      <c r="N56" t="s">
        <v>3328</v>
      </c>
      <c r="O56" t="s">
        <v>3319</v>
      </c>
    </row>
    <row r="57" spans="11:16" x14ac:dyDescent="0.25">
      <c r="K57" t="s">
        <v>3328</v>
      </c>
      <c r="N57" t="s">
        <v>3319</v>
      </c>
    </row>
    <row r="58" spans="11:16" x14ac:dyDescent="0.25">
      <c r="K58" t="s">
        <v>3319</v>
      </c>
      <c r="M58" t="s">
        <v>3319</v>
      </c>
    </row>
    <row r="60" spans="11:16" x14ac:dyDescent="0.25">
      <c r="N60" t="s">
        <v>3321</v>
      </c>
      <c r="O60" t="s">
        <v>3318</v>
      </c>
      <c r="P60" t="s">
        <v>3319</v>
      </c>
    </row>
    <row r="61" spans="11:16" x14ac:dyDescent="0.25">
      <c r="N61" t="s">
        <v>3321</v>
      </c>
      <c r="O61" t="s">
        <v>3320</v>
      </c>
      <c r="P61" t="s">
        <v>3319</v>
      </c>
    </row>
    <row r="62" spans="11:16" x14ac:dyDescent="0.25">
      <c r="N62" t="s">
        <v>3321</v>
      </c>
      <c r="O62" t="s">
        <v>3323</v>
      </c>
      <c r="P62" t="s">
        <v>3319</v>
      </c>
    </row>
    <row r="63" spans="11:16" x14ac:dyDescent="0.25">
      <c r="N63" t="s">
        <v>3326</v>
      </c>
      <c r="O63" t="s">
        <v>3324</v>
      </c>
      <c r="P63" t="s">
        <v>3319</v>
      </c>
    </row>
    <row r="64" spans="11:16" x14ac:dyDescent="0.25">
      <c r="N64" t="s">
        <v>3326</v>
      </c>
      <c r="O64" t="s">
        <v>3325</v>
      </c>
      <c r="P64" t="s">
        <v>3319</v>
      </c>
    </row>
    <row r="65" spans="14:16" x14ac:dyDescent="0.25">
      <c r="N65" t="s">
        <v>3326</v>
      </c>
      <c r="O65" t="s">
        <v>3328</v>
      </c>
      <c r="P65" t="s">
        <v>3319</v>
      </c>
    </row>
  </sheetData>
  <pageMargins left="0.7" right="0.7" top="0.75" bottom="0.75" header="0.3" footer="0.3"/>
  <pageSetup orientation="portrait" verticalDpi="0" r:id="rId1"/>
  <drawing r:id="rId2"/>
  <legacyDrawing r:id="rId3"/>
  <controls>
    <mc:AlternateContent xmlns:mc="http://schemas.openxmlformats.org/markup-compatibility/2006">
      <mc:Choice Requires="x14">
        <control shapeId="15361" r:id="rId4" name="CommandButton1">
          <controlPr defaultSize="0" autoLine="0" r:id="rId5">
            <anchor moveWithCells="1">
              <from>
                <xdr:col>10</xdr:col>
                <xdr:colOff>4686300</xdr:colOff>
                <xdr:row>3</xdr:row>
                <xdr:rowOff>57150</xdr:rowOff>
              </from>
              <to>
                <xdr:col>11</xdr:col>
                <xdr:colOff>400050</xdr:colOff>
                <xdr:row>5</xdr:row>
                <xdr:rowOff>142875</xdr:rowOff>
              </to>
            </anchor>
          </controlPr>
        </control>
      </mc:Choice>
      <mc:Fallback>
        <control shapeId="15361" r:id="rId4" name="CommandButton1"/>
      </mc:Fallback>
    </mc:AlternateContent>
  </controls>
  <tableParts count="2">
    <tablePart r:id="rId6"/>
    <tablePart r:id="rId7"/>
  </tableParts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/>
  <dimension ref="A1:J987"/>
  <sheetViews>
    <sheetView workbookViewId="0">
      <selection activeCell="H30" sqref="H30"/>
    </sheetView>
  </sheetViews>
  <sheetFormatPr defaultRowHeight="15" x14ac:dyDescent="0.25"/>
  <cols>
    <col min="1" max="1" width="31.28515625" customWidth="1"/>
    <col min="2" max="2" width="51.140625" bestFit="1" customWidth="1"/>
    <col min="3" max="3" width="55.85546875" bestFit="1" customWidth="1"/>
    <col min="8" max="8" width="42.42578125" bestFit="1" customWidth="1"/>
    <col min="9" max="9" width="61.85546875" bestFit="1" customWidth="1"/>
    <col min="10" max="10" width="18.5703125" bestFit="1" customWidth="1"/>
  </cols>
  <sheetData>
    <row r="1" spans="1:10" x14ac:dyDescent="0.25">
      <c r="A1">
        <v>13</v>
      </c>
      <c r="B1" t="s">
        <v>1249</v>
      </c>
      <c r="I1" t="s">
        <v>1250</v>
      </c>
    </row>
    <row r="2" spans="1:10" x14ac:dyDescent="0.25">
      <c r="A2" t="s">
        <v>263</v>
      </c>
      <c r="B2" t="s">
        <v>265</v>
      </c>
      <c r="C2" t="s">
        <v>1251</v>
      </c>
      <c r="H2" t="s">
        <v>263</v>
      </c>
      <c r="I2" t="s">
        <v>265</v>
      </c>
      <c r="J2" t="s">
        <v>1251</v>
      </c>
    </row>
    <row r="3" spans="1:10" x14ac:dyDescent="0.25">
      <c r="A3" t="s">
        <v>1252</v>
      </c>
      <c r="H3" t="s">
        <v>1253</v>
      </c>
    </row>
    <row r="4" spans="1:10" x14ac:dyDescent="0.25">
      <c r="A4" t="s">
        <v>1254</v>
      </c>
      <c r="B4" t="s">
        <v>1255</v>
      </c>
      <c r="C4" t="s">
        <v>1256</v>
      </c>
      <c r="H4" t="s">
        <v>263</v>
      </c>
      <c r="I4" t="s">
        <v>265</v>
      </c>
      <c r="J4" t="s">
        <v>1257</v>
      </c>
    </row>
    <row r="5" spans="1:10" x14ac:dyDescent="0.25">
      <c r="A5" t="s">
        <v>1258</v>
      </c>
      <c r="B5" t="s">
        <v>1259</v>
      </c>
      <c r="C5" t="s">
        <v>1260</v>
      </c>
      <c r="H5" t="s">
        <v>1261</v>
      </c>
      <c r="I5" t="s">
        <v>1262</v>
      </c>
      <c r="J5" t="s">
        <v>1263</v>
      </c>
    </row>
    <row r="6" spans="1:10" x14ac:dyDescent="0.25">
      <c r="A6" t="s">
        <v>1264</v>
      </c>
      <c r="B6" t="s">
        <v>1265</v>
      </c>
      <c r="C6" t="s">
        <v>1266</v>
      </c>
      <c r="H6" t="s">
        <v>1267</v>
      </c>
      <c r="I6" t="s">
        <v>1268</v>
      </c>
      <c r="J6" t="s">
        <v>1263</v>
      </c>
    </row>
    <row r="7" spans="1:10" x14ac:dyDescent="0.25">
      <c r="A7" t="s">
        <v>1269</v>
      </c>
      <c r="B7" t="s">
        <v>1270</v>
      </c>
      <c r="C7" t="s">
        <v>1271</v>
      </c>
      <c r="H7" t="s">
        <v>1272</v>
      </c>
      <c r="I7" t="s">
        <v>1273</v>
      </c>
      <c r="J7" t="s">
        <v>1263</v>
      </c>
    </row>
    <row r="8" spans="1:10" x14ac:dyDescent="0.25">
      <c r="A8" t="s">
        <v>1274</v>
      </c>
      <c r="B8" t="s">
        <v>1275</v>
      </c>
      <c r="C8" t="s">
        <v>1276</v>
      </c>
      <c r="H8" t="s">
        <v>1277</v>
      </c>
      <c r="I8" t="s">
        <v>1278</v>
      </c>
      <c r="J8" t="s">
        <v>1263</v>
      </c>
    </row>
    <row r="9" spans="1:10" x14ac:dyDescent="0.25">
      <c r="A9" t="s">
        <v>1279</v>
      </c>
      <c r="B9" t="s">
        <v>1280</v>
      </c>
      <c r="C9" t="s">
        <v>1281</v>
      </c>
      <c r="H9" t="s">
        <v>1282</v>
      </c>
      <c r="I9" t="s">
        <v>1283</v>
      </c>
      <c r="J9" t="s">
        <v>1263</v>
      </c>
    </row>
    <row r="10" spans="1:10" x14ac:dyDescent="0.25">
      <c r="A10" t="s">
        <v>1284</v>
      </c>
      <c r="B10" t="s">
        <v>1285</v>
      </c>
      <c r="C10" t="s">
        <v>1281</v>
      </c>
      <c r="H10" t="s">
        <v>1286</v>
      </c>
      <c r="I10" t="s">
        <v>1283</v>
      </c>
      <c r="J10" t="s">
        <v>1287</v>
      </c>
    </row>
    <row r="11" spans="1:10" x14ac:dyDescent="0.25">
      <c r="A11" t="s">
        <v>1288</v>
      </c>
      <c r="B11" t="s">
        <v>1289</v>
      </c>
      <c r="C11" t="s">
        <v>1281</v>
      </c>
      <c r="H11" t="s">
        <v>1290</v>
      </c>
      <c r="I11" t="s">
        <v>1291</v>
      </c>
      <c r="J11" t="s">
        <v>1263</v>
      </c>
    </row>
    <row r="12" spans="1:10" x14ac:dyDescent="0.25">
      <c r="A12" t="s">
        <v>37</v>
      </c>
      <c r="B12" t="s">
        <v>1292</v>
      </c>
      <c r="C12" t="s">
        <v>1281</v>
      </c>
      <c r="H12" t="s">
        <v>1293</v>
      </c>
      <c r="I12" t="s">
        <v>1294</v>
      </c>
      <c r="J12" t="s">
        <v>1295</v>
      </c>
    </row>
    <row r="13" spans="1:10" x14ac:dyDescent="0.25">
      <c r="A13" t="s">
        <v>1296</v>
      </c>
      <c r="B13" t="s">
        <v>1292</v>
      </c>
      <c r="C13" t="s">
        <v>1281</v>
      </c>
      <c r="H13" t="s">
        <v>1297</v>
      </c>
      <c r="I13" t="s">
        <v>1298</v>
      </c>
      <c r="J13" t="s">
        <v>1295</v>
      </c>
    </row>
    <row r="14" spans="1:10" x14ac:dyDescent="0.25">
      <c r="A14" t="s">
        <v>1299</v>
      </c>
      <c r="B14" t="s">
        <v>1300</v>
      </c>
      <c r="C14" t="s">
        <v>1301</v>
      </c>
      <c r="H14" t="s">
        <v>1302</v>
      </c>
      <c r="I14" t="s">
        <v>1303</v>
      </c>
      <c r="J14" t="s">
        <v>1263</v>
      </c>
    </row>
    <row r="15" spans="1:10" x14ac:dyDescent="0.25">
      <c r="A15" t="s">
        <v>1304</v>
      </c>
      <c r="B15" t="s">
        <v>1305</v>
      </c>
      <c r="C15" t="s">
        <v>1266</v>
      </c>
      <c r="H15" t="s">
        <v>1306</v>
      </c>
      <c r="I15" t="s">
        <v>1307</v>
      </c>
      <c r="J15" t="s">
        <v>1263</v>
      </c>
    </row>
    <row r="16" spans="1:10" x14ac:dyDescent="0.25">
      <c r="A16" t="s">
        <v>1308</v>
      </c>
      <c r="B16" t="s">
        <v>1309</v>
      </c>
      <c r="C16" t="s">
        <v>1310</v>
      </c>
      <c r="H16" t="s">
        <v>1311</v>
      </c>
      <c r="I16" t="s">
        <v>1303</v>
      </c>
      <c r="J16" t="s">
        <v>1263</v>
      </c>
    </row>
    <row r="17" spans="1:10" x14ac:dyDescent="0.25">
      <c r="A17" t="s">
        <v>1312</v>
      </c>
      <c r="B17" t="s">
        <v>1313</v>
      </c>
      <c r="C17" t="s">
        <v>1281</v>
      </c>
      <c r="H17" t="s">
        <v>1314</v>
      </c>
      <c r="I17" t="s">
        <v>1307</v>
      </c>
      <c r="J17" t="s">
        <v>1263</v>
      </c>
    </row>
    <row r="18" spans="1:10" x14ac:dyDescent="0.25">
      <c r="A18" t="s">
        <v>1315</v>
      </c>
      <c r="B18" t="s">
        <v>1316</v>
      </c>
      <c r="C18" t="s">
        <v>1281</v>
      </c>
      <c r="H18" t="s">
        <v>1317</v>
      </c>
      <c r="I18" t="s">
        <v>1318</v>
      </c>
      <c r="J18" t="s">
        <v>1263</v>
      </c>
    </row>
    <row r="19" spans="1:10" x14ac:dyDescent="0.25">
      <c r="A19" t="s">
        <v>1319</v>
      </c>
      <c r="B19" t="s">
        <v>1320</v>
      </c>
      <c r="C19" t="s">
        <v>1321</v>
      </c>
      <c r="H19" t="s">
        <v>1322</v>
      </c>
      <c r="I19" t="s">
        <v>1323</v>
      </c>
      <c r="J19" t="s">
        <v>1263</v>
      </c>
    </row>
    <row r="20" spans="1:10" x14ac:dyDescent="0.25">
      <c r="A20" t="s">
        <v>1324</v>
      </c>
      <c r="B20" t="s">
        <v>1325</v>
      </c>
      <c r="C20" t="s">
        <v>1301</v>
      </c>
      <c r="H20" t="s">
        <v>1326</v>
      </c>
      <c r="I20" t="s">
        <v>1323</v>
      </c>
      <c r="J20" t="s">
        <v>1263</v>
      </c>
    </row>
    <row r="21" spans="1:10" x14ac:dyDescent="0.25">
      <c r="A21" t="s">
        <v>1327</v>
      </c>
      <c r="B21" t="s">
        <v>1328</v>
      </c>
      <c r="C21" t="s">
        <v>1271</v>
      </c>
      <c r="H21" t="s">
        <v>1329</v>
      </c>
      <c r="I21" t="s">
        <v>1318</v>
      </c>
      <c r="J21" t="s">
        <v>1263</v>
      </c>
    </row>
    <row r="22" spans="1:10" x14ac:dyDescent="0.25">
      <c r="A22" t="s">
        <v>1330</v>
      </c>
      <c r="B22" t="s">
        <v>1316</v>
      </c>
      <c r="C22" t="s">
        <v>1281</v>
      </c>
      <c r="H22" t="s">
        <v>1331</v>
      </c>
      <c r="I22" t="s">
        <v>1323</v>
      </c>
      <c r="J22" t="s">
        <v>1263</v>
      </c>
    </row>
    <row r="23" spans="1:10" x14ac:dyDescent="0.25">
      <c r="A23" t="s">
        <v>1332</v>
      </c>
      <c r="B23" t="s">
        <v>1333</v>
      </c>
      <c r="C23" t="s">
        <v>1281</v>
      </c>
      <c r="H23" t="s">
        <v>1334</v>
      </c>
      <c r="I23" t="s">
        <v>1318</v>
      </c>
      <c r="J23" t="s">
        <v>1263</v>
      </c>
    </row>
    <row r="24" spans="1:10" x14ac:dyDescent="0.25">
      <c r="A24" t="s">
        <v>1335</v>
      </c>
      <c r="B24" t="s">
        <v>1336</v>
      </c>
      <c r="C24" t="s">
        <v>1260</v>
      </c>
      <c r="H24" t="s">
        <v>1337</v>
      </c>
      <c r="I24" t="s">
        <v>1323</v>
      </c>
      <c r="J24" t="s">
        <v>1263</v>
      </c>
    </row>
    <row r="25" spans="1:10" x14ac:dyDescent="0.25">
      <c r="A25" t="s">
        <v>1338</v>
      </c>
      <c r="B25" t="s">
        <v>1339</v>
      </c>
      <c r="C25" t="s">
        <v>1260</v>
      </c>
      <c r="H25" t="s">
        <v>1340</v>
      </c>
      <c r="I25" t="s">
        <v>1318</v>
      </c>
      <c r="J25" t="s">
        <v>1263</v>
      </c>
    </row>
    <row r="26" spans="1:10" x14ac:dyDescent="0.25">
      <c r="A26" t="s">
        <v>1341</v>
      </c>
      <c r="B26" t="s">
        <v>1342</v>
      </c>
      <c r="C26" t="s">
        <v>1343</v>
      </c>
      <c r="H26" t="s">
        <v>1344</v>
      </c>
      <c r="I26" t="s">
        <v>1323</v>
      </c>
      <c r="J26" t="s">
        <v>1263</v>
      </c>
    </row>
    <row r="27" spans="1:10" x14ac:dyDescent="0.25">
      <c r="A27" t="s">
        <v>1248</v>
      </c>
      <c r="B27" t="s">
        <v>1345</v>
      </c>
      <c r="C27" t="s">
        <v>1343</v>
      </c>
      <c r="H27" t="s">
        <v>1346</v>
      </c>
      <c r="I27" t="s">
        <v>1318</v>
      </c>
      <c r="J27" t="s">
        <v>1263</v>
      </c>
    </row>
    <row r="28" spans="1:10" x14ac:dyDescent="0.25">
      <c r="A28" t="s">
        <v>1347</v>
      </c>
      <c r="B28" t="s">
        <v>1348</v>
      </c>
      <c r="C28" t="s">
        <v>1349</v>
      </c>
      <c r="H28" t="s">
        <v>1350</v>
      </c>
      <c r="I28" t="s">
        <v>1323</v>
      </c>
      <c r="J28" t="s">
        <v>1263</v>
      </c>
    </row>
    <row r="29" spans="1:10" x14ac:dyDescent="0.25">
      <c r="A29" t="s">
        <v>1351</v>
      </c>
      <c r="B29" t="s">
        <v>1352</v>
      </c>
      <c r="C29" t="s">
        <v>1353</v>
      </c>
      <c r="H29" t="s">
        <v>1354</v>
      </c>
      <c r="I29" t="s">
        <v>1318</v>
      </c>
      <c r="J29" t="s">
        <v>1263</v>
      </c>
    </row>
    <row r="30" spans="1:10" x14ac:dyDescent="0.25">
      <c r="A30" t="s">
        <v>1355</v>
      </c>
      <c r="B30" t="s">
        <v>1356</v>
      </c>
      <c r="C30" t="s">
        <v>1353</v>
      </c>
      <c r="H30" t="s">
        <v>1357</v>
      </c>
      <c r="I30" t="s">
        <v>1323</v>
      </c>
      <c r="J30" t="s">
        <v>1263</v>
      </c>
    </row>
    <row r="31" spans="1:10" x14ac:dyDescent="0.25">
      <c r="A31" t="s">
        <v>1358</v>
      </c>
      <c r="B31" t="s">
        <v>1356</v>
      </c>
      <c r="C31" t="s">
        <v>1353</v>
      </c>
      <c r="H31" t="s">
        <v>1359</v>
      </c>
      <c r="I31" t="s">
        <v>1318</v>
      </c>
      <c r="J31" t="s">
        <v>1263</v>
      </c>
    </row>
    <row r="32" spans="1:10" x14ac:dyDescent="0.25">
      <c r="A32" t="s">
        <v>1360</v>
      </c>
      <c r="B32" t="s">
        <v>1361</v>
      </c>
      <c r="C32" t="s">
        <v>1353</v>
      </c>
      <c r="H32" t="s">
        <v>1362</v>
      </c>
      <c r="I32" t="s">
        <v>1318</v>
      </c>
      <c r="J32" t="s">
        <v>1263</v>
      </c>
    </row>
    <row r="33" spans="1:10" x14ac:dyDescent="0.25">
      <c r="A33" t="s">
        <v>81</v>
      </c>
      <c r="B33" t="s">
        <v>1363</v>
      </c>
      <c r="C33" t="s">
        <v>1260</v>
      </c>
      <c r="H33" t="s">
        <v>1364</v>
      </c>
      <c r="I33" t="s">
        <v>1365</v>
      </c>
      <c r="J33" t="s">
        <v>1263</v>
      </c>
    </row>
    <row r="34" spans="1:10" x14ac:dyDescent="0.25">
      <c r="A34" t="s">
        <v>1366</v>
      </c>
      <c r="B34" t="s">
        <v>1367</v>
      </c>
      <c r="C34" t="s">
        <v>1260</v>
      </c>
      <c r="H34" t="s">
        <v>1368</v>
      </c>
      <c r="I34" t="s">
        <v>1369</v>
      </c>
      <c r="J34" t="s">
        <v>1263</v>
      </c>
    </row>
    <row r="35" spans="1:10" x14ac:dyDescent="0.25">
      <c r="A35" t="s">
        <v>318</v>
      </c>
      <c r="B35" t="s">
        <v>1370</v>
      </c>
      <c r="C35" t="s">
        <v>1260</v>
      </c>
      <c r="H35" t="s">
        <v>1371</v>
      </c>
      <c r="I35" t="s">
        <v>1372</v>
      </c>
      <c r="J35" t="s">
        <v>1263</v>
      </c>
    </row>
    <row r="36" spans="1:10" x14ac:dyDescent="0.25">
      <c r="A36" t="s">
        <v>1373</v>
      </c>
      <c r="B36" t="s">
        <v>1374</v>
      </c>
      <c r="C36" t="s">
        <v>1260</v>
      </c>
      <c r="H36" t="s">
        <v>1375</v>
      </c>
      <c r="I36" t="s">
        <v>1376</v>
      </c>
      <c r="J36" t="s">
        <v>1263</v>
      </c>
    </row>
    <row r="37" spans="1:10" x14ac:dyDescent="0.25">
      <c r="A37" t="s">
        <v>61</v>
      </c>
      <c r="B37" t="s">
        <v>1377</v>
      </c>
      <c r="C37" t="s">
        <v>1260</v>
      </c>
      <c r="H37" t="s">
        <v>1378</v>
      </c>
      <c r="I37" t="s">
        <v>1379</v>
      </c>
      <c r="J37" t="s">
        <v>1380</v>
      </c>
    </row>
    <row r="38" spans="1:10" x14ac:dyDescent="0.25">
      <c r="A38" t="s">
        <v>1381</v>
      </c>
      <c r="B38" t="s">
        <v>1382</v>
      </c>
      <c r="C38" t="s">
        <v>1260</v>
      </c>
      <c r="H38" t="s">
        <v>1383</v>
      </c>
      <c r="I38" t="s">
        <v>1384</v>
      </c>
      <c r="J38" t="s">
        <v>1380</v>
      </c>
    </row>
    <row r="39" spans="1:10" x14ac:dyDescent="0.25">
      <c r="A39" t="s">
        <v>1385</v>
      </c>
      <c r="B39" t="s">
        <v>1386</v>
      </c>
      <c r="C39" t="s">
        <v>1260</v>
      </c>
      <c r="H39" t="s">
        <v>1387</v>
      </c>
      <c r="I39" t="s">
        <v>1388</v>
      </c>
    </row>
    <row r="40" spans="1:10" x14ac:dyDescent="0.25">
      <c r="A40" t="s">
        <v>1389</v>
      </c>
      <c r="B40" t="s">
        <v>1390</v>
      </c>
      <c r="C40" t="s">
        <v>1260</v>
      </c>
      <c r="H40" t="s">
        <v>1391</v>
      </c>
      <c r="I40" t="s">
        <v>1392</v>
      </c>
    </row>
    <row r="41" spans="1:10" x14ac:dyDescent="0.25">
      <c r="A41" t="s">
        <v>1393</v>
      </c>
      <c r="B41" t="s">
        <v>1394</v>
      </c>
      <c r="C41" t="s">
        <v>1260</v>
      </c>
      <c r="H41" t="s">
        <v>1395</v>
      </c>
      <c r="I41" t="s">
        <v>1392</v>
      </c>
      <c r="J41" t="s">
        <v>1263</v>
      </c>
    </row>
    <row r="42" spans="1:10" x14ac:dyDescent="0.25">
      <c r="A42" t="s">
        <v>1396</v>
      </c>
      <c r="B42" t="s">
        <v>1397</v>
      </c>
      <c r="C42" t="s">
        <v>1260</v>
      </c>
      <c r="H42" t="s">
        <v>1398</v>
      </c>
      <c r="I42" t="s">
        <v>1399</v>
      </c>
      <c r="J42" t="s">
        <v>1263</v>
      </c>
    </row>
    <row r="43" spans="1:10" x14ac:dyDescent="0.25">
      <c r="A43" t="s">
        <v>214</v>
      </c>
      <c r="B43" t="s">
        <v>1400</v>
      </c>
      <c r="C43" t="s">
        <v>1260</v>
      </c>
      <c r="H43" t="s">
        <v>1401</v>
      </c>
      <c r="I43" t="s">
        <v>1402</v>
      </c>
      <c r="J43" t="s">
        <v>1403</v>
      </c>
    </row>
    <row r="44" spans="1:10" x14ac:dyDescent="0.25">
      <c r="A44" t="s">
        <v>116</v>
      </c>
      <c r="B44" t="s">
        <v>1404</v>
      </c>
      <c r="C44" t="s">
        <v>1260</v>
      </c>
      <c r="H44" t="s">
        <v>1405</v>
      </c>
      <c r="I44" t="s">
        <v>1406</v>
      </c>
    </row>
    <row r="45" spans="1:10" x14ac:dyDescent="0.25">
      <c r="A45" t="s">
        <v>1407</v>
      </c>
      <c r="B45" t="s">
        <v>1408</v>
      </c>
      <c r="C45" t="s">
        <v>1409</v>
      </c>
      <c r="H45" t="s">
        <v>1410</v>
      </c>
      <c r="I45" t="s">
        <v>1411</v>
      </c>
    </row>
    <row r="46" spans="1:10" x14ac:dyDescent="0.25">
      <c r="A46" t="s">
        <v>809</v>
      </c>
      <c r="B46" t="s">
        <v>1412</v>
      </c>
      <c r="C46" t="s">
        <v>1409</v>
      </c>
      <c r="H46" t="s">
        <v>1413</v>
      </c>
      <c r="I46" t="s">
        <v>1414</v>
      </c>
    </row>
    <row r="47" spans="1:10" x14ac:dyDescent="0.25">
      <c r="A47" t="s">
        <v>1415</v>
      </c>
      <c r="B47" t="s">
        <v>1416</v>
      </c>
      <c r="C47" t="s">
        <v>1260</v>
      </c>
      <c r="H47" t="s">
        <v>1417</v>
      </c>
      <c r="I47" t="s">
        <v>1418</v>
      </c>
    </row>
    <row r="48" spans="1:10" x14ac:dyDescent="0.25">
      <c r="A48" t="s">
        <v>1419</v>
      </c>
      <c r="B48" t="s">
        <v>1420</v>
      </c>
      <c r="C48" t="s">
        <v>1260</v>
      </c>
      <c r="H48" t="s">
        <v>1421</v>
      </c>
      <c r="I48" t="s">
        <v>1422</v>
      </c>
    </row>
    <row r="49" spans="1:9" x14ac:dyDescent="0.25">
      <c r="A49" t="s">
        <v>1423</v>
      </c>
      <c r="B49" t="s">
        <v>1424</v>
      </c>
      <c r="C49" t="s">
        <v>1260</v>
      </c>
      <c r="H49" t="s">
        <v>1425</v>
      </c>
      <c r="I49" t="s">
        <v>1426</v>
      </c>
    </row>
    <row r="50" spans="1:9" x14ac:dyDescent="0.25">
      <c r="A50" t="s">
        <v>1427</v>
      </c>
      <c r="B50" t="s">
        <v>1424</v>
      </c>
      <c r="C50" t="s">
        <v>1260</v>
      </c>
      <c r="H50" t="s">
        <v>1428</v>
      </c>
      <c r="I50" t="s">
        <v>1429</v>
      </c>
    </row>
    <row r="51" spans="1:9" x14ac:dyDescent="0.25">
      <c r="A51" t="s">
        <v>24</v>
      </c>
      <c r="B51" t="s">
        <v>1430</v>
      </c>
      <c r="C51" t="s">
        <v>1260</v>
      </c>
      <c r="H51" t="s">
        <v>1431</v>
      </c>
      <c r="I51" t="s">
        <v>1432</v>
      </c>
    </row>
    <row r="52" spans="1:9" x14ac:dyDescent="0.25">
      <c r="A52" t="s">
        <v>1433</v>
      </c>
      <c r="B52" t="s">
        <v>1434</v>
      </c>
      <c r="C52" t="s">
        <v>1260</v>
      </c>
      <c r="H52" t="s">
        <v>1435</v>
      </c>
      <c r="I52" t="s">
        <v>1436</v>
      </c>
    </row>
    <row r="53" spans="1:9" x14ac:dyDescent="0.25">
      <c r="A53" t="s">
        <v>1437</v>
      </c>
      <c r="B53" t="s">
        <v>1438</v>
      </c>
      <c r="C53" t="s">
        <v>1260</v>
      </c>
      <c r="H53" t="s">
        <v>1439</v>
      </c>
      <c r="I53" t="s">
        <v>1440</v>
      </c>
    </row>
    <row r="54" spans="1:9" x14ac:dyDescent="0.25">
      <c r="A54" t="s">
        <v>543</v>
      </c>
      <c r="B54" t="s">
        <v>1441</v>
      </c>
      <c r="C54" t="s">
        <v>1260</v>
      </c>
      <c r="H54" t="s">
        <v>1442</v>
      </c>
      <c r="I54" t="s">
        <v>1443</v>
      </c>
    </row>
    <row r="55" spans="1:9" x14ac:dyDescent="0.25">
      <c r="A55" t="s">
        <v>34</v>
      </c>
      <c r="B55" t="s">
        <v>1444</v>
      </c>
      <c r="C55" t="s">
        <v>1260</v>
      </c>
      <c r="H55" t="s">
        <v>1445</v>
      </c>
      <c r="I55" t="s">
        <v>1446</v>
      </c>
    </row>
    <row r="56" spans="1:9" x14ac:dyDescent="0.25">
      <c r="A56" t="s">
        <v>1447</v>
      </c>
      <c r="B56" t="s">
        <v>1448</v>
      </c>
      <c r="C56" t="s">
        <v>1260</v>
      </c>
      <c r="H56" t="s">
        <v>1449</v>
      </c>
      <c r="I56" t="s">
        <v>1450</v>
      </c>
    </row>
    <row r="57" spans="1:9" x14ac:dyDescent="0.25">
      <c r="A57" t="s">
        <v>48</v>
      </c>
      <c r="B57" t="s">
        <v>1451</v>
      </c>
      <c r="C57" t="s">
        <v>1260</v>
      </c>
      <c r="H57" t="s">
        <v>255</v>
      </c>
      <c r="I57" t="s">
        <v>1452</v>
      </c>
    </row>
    <row r="58" spans="1:9" x14ac:dyDescent="0.25">
      <c r="A58" t="s">
        <v>115</v>
      </c>
      <c r="B58" t="s">
        <v>1453</v>
      </c>
      <c r="C58" t="s">
        <v>1260</v>
      </c>
      <c r="H58" t="s">
        <v>1454</v>
      </c>
      <c r="I58" t="s">
        <v>1455</v>
      </c>
    </row>
    <row r="59" spans="1:9" x14ac:dyDescent="0.25">
      <c r="A59" t="s">
        <v>46</v>
      </c>
      <c r="B59" t="s">
        <v>1456</v>
      </c>
      <c r="C59" t="s">
        <v>1409</v>
      </c>
      <c r="H59" t="s">
        <v>993</v>
      </c>
      <c r="I59" t="s">
        <v>1457</v>
      </c>
    </row>
    <row r="60" spans="1:9" x14ac:dyDescent="0.25">
      <c r="A60" t="s">
        <v>1458</v>
      </c>
      <c r="B60" t="s">
        <v>1459</v>
      </c>
      <c r="C60" t="s">
        <v>1409</v>
      </c>
      <c r="H60" t="s">
        <v>1460</v>
      </c>
      <c r="I60" t="s">
        <v>1461</v>
      </c>
    </row>
    <row r="61" spans="1:9" x14ac:dyDescent="0.25">
      <c r="A61" t="s">
        <v>83</v>
      </c>
      <c r="B61" t="s">
        <v>1280</v>
      </c>
      <c r="C61" t="s">
        <v>1281</v>
      </c>
      <c r="H61" t="s">
        <v>1462</v>
      </c>
      <c r="I61" t="s">
        <v>1463</v>
      </c>
    </row>
    <row r="62" spans="1:9" x14ac:dyDescent="0.25">
      <c r="A62" t="s">
        <v>1464</v>
      </c>
      <c r="B62" t="s">
        <v>1285</v>
      </c>
      <c r="C62" t="s">
        <v>1281</v>
      </c>
      <c r="H62" t="s">
        <v>1465</v>
      </c>
      <c r="I62" t="s">
        <v>1466</v>
      </c>
    </row>
    <row r="63" spans="1:9" x14ac:dyDescent="0.25">
      <c r="A63" t="s">
        <v>1467</v>
      </c>
      <c r="B63" t="s">
        <v>1468</v>
      </c>
      <c r="C63" t="s">
        <v>1301</v>
      </c>
      <c r="H63" t="s">
        <v>1469</v>
      </c>
      <c r="I63" t="s">
        <v>1470</v>
      </c>
    </row>
    <row r="64" spans="1:9" x14ac:dyDescent="0.25">
      <c r="A64" t="s">
        <v>1471</v>
      </c>
      <c r="B64" t="s">
        <v>1472</v>
      </c>
      <c r="C64" t="s">
        <v>1473</v>
      </c>
      <c r="H64" t="s">
        <v>1474</v>
      </c>
      <c r="I64" t="s">
        <v>1475</v>
      </c>
    </row>
    <row r="65" spans="1:9" x14ac:dyDescent="0.25">
      <c r="A65" t="s">
        <v>1476</v>
      </c>
      <c r="B65" t="s">
        <v>1477</v>
      </c>
      <c r="C65" t="s">
        <v>1301</v>
      </c>
      <c r="H65" t="s">
        <v>1478</v>
      </c>
      <c r="I65" t="s">
        <v>1479</v>
      </c>
    </row>
    <row r="66" spans="1:9" x14ac:dyDescent="0.25">
      <c r="A66" t="s">
        <v>1480</v>
      </c>
      <c r="B66" t="s">
        <v>1481</v>
      </c>
      <c r="C66" t="s">
        <v>1301</v>
      </c>
      <c r="H66" t="s">
        <v>1482</v>
      </c>
      <c r="I66" t="s">
        <v>1483</v>
      </c>
    </row>
    <row r="67" spans="1:9" x14ac:dyDescent="0.25">
      <c r="A67" t="s">
        <v>1484</v>
      </c>
      <c r="B67" t="s">
        <v>1485</v>
      </c>
      <c r="C67" t="s">
        <v>1266</v>
      </c>
      <c r="H67" t="s">
        <v>1486</v>
      </c>
      <c r="I67" t="s">
        <v>1487</v>
      </c>
    </row>
    <row r="68" spans="1:9" x14ac:dyDescent="0.25">
      <c r="A68" t="s">
        <v>56</v>
      </c>
      <c r="B68" t="s">
        <v>1488</v>
      </c>
      <c r="C68" t="s">
        <v>1266</v>
      </c>
      <c r="H68" t="s">
        <v>1489</v>
      </c>
      <c r="I68" t="s">
        <v>1490</v>
      </c>
    </row>
    <row r="69" spans="1:9" x14ac:dyDescent="0.25">
      <c r="A69" t="s">
        <v>1491</v>
      </c>
      <c r="B69" t="s">
        <v>1492</v>
      </c>
      <c r="C69" t="s">
        <v>1271</v>
      </c>
      <c r="H69" t="s">
        <v>1442</v>
      </c>
      <c r="I69" t="s">
        <v>1493</v>
      </c>
    </row>
    <row r="70" spans="1:9" x14ac:dyDescent="0.25">
      <c r="A70" t="s">
        <v>1494</v>
      </c>
      <c r="B70" t="s">
        <v>1495</v>
      </c>
      <c r="C70" t="s">
        <v>1496</v>
      </c>
      <c r="H70" t="s">
        <v>1497</v>
      </c>
      <c r="I70" t="s">
        <v>1498</v>
      </c>
    </row>
    <row r="71" spans="1:9" x14ac:dyDescent="0.25">
      <c r="A71" t="s">
        <v>836</v>
      </c>
      <c r="B71" t="s">
        <v>1499</v>
      </c>
      <c r="C71" t="s">
        <v>1276</v>
      </c>
      <c r="H71" t="s">
        <v>1500</v>
      </c>
      <c r="I71" t="s">
        <v>1501</v>
      </c>
    </row>
    <row r="72" spans="1:9" x14ac:dyDescent="0.25">
      <c r="A72" t="s">
        <v>1502</v>
      </c>
      <c r="B72" t="s">
        <v>1499</v>
      </c>
      <c r="C72" t="s">
        <v>1276</v>
      </c>
      <c r="H72" t="s">
        <v>1503</v>
      </c>
      <c r="I72" t="s">
        <v>1504</v>
      </c>
    </row>
    <row r="73" spans="1:9" x14ac:dyDescent="0.25">
      <c r="A73" t="s">
        <v>84</v>
      </c>
      <c r="B73" t="s">
        <v>1289</v>
      </c>
      <c r="C73" t="s">
        <v>1281</v>
      </c>
      <c r="H73" t="s">
        <v>1505</v>
      </c>
      <c r="I73" t="s">
        <v>1506</v>
      </c>
    </row>
    <row r="74" spans="1:9" x14ac:dyDescent="0.25">
      <c r="A74" t="s">
        <v>137</v>
      </c>
      <c r="B74" t="s">
        <v>1292</v>
      </c>
      <c r="C74" t="s">
        <v>1281</v>
      </c>
      <c r="H74" t="s">
        <v>985</v>
      </c>
      <c r="I74" t="s">
        <v>1507</v>
      </c>
    </row>
    <row r="75" spans="1:9" x14ac:dyDescent="0.25">
      <c r="A75" t="s">
        <v>1508</v>
      </c>
      <c r="B75" t="s">
        <v>1509</v>
      </c>
      <c r="C75" t="s">
        <v>1510</v>
      </c>
      <c r="H75" t="s">
        <v>1511</v>
      </c>
      <c r="I75" t="s">
        <v>1512</v>
      </c>
    </row>
    <row r="76" spans="1:9" x14ac:dyDescent="0.25">
      <c r="A76" t="s">
        <v>1513</v>
      </c>
      <c r="B76" t="s">
        <v>1514</v>
      </c>
      <c r="C76" t="s">
        <v>1473</v>
      </c>
      <c r="H76" t="s">
        <v>1515</v>
      </c>
      <c r="I76" t="s">
        <v>1516</v>
      </c>
    </row>
    <row r="77" spans="1:9" x14ac:dyDescent="0.25">
      <c r="A77" t="s">
        <v>1517</v>
      </c>
      <c r="B77" t="s">
        <v>1300</v>
      </c>
      <c r="C77" t="s">
        <v>1301</v>
      </c>
      <c r="H77" t="s">
        <v>1518</v>
      </c>
      <c r="I77" t="s">
        <v>1519</v>
      </c>
    </row>
    <row r="78" spans="1:9" x14ac:dyDescent="0.25">
      <c r="A78" t="s">
        <v>1520</v>
      </c>
      <c r="B78" t="s">
        <v>1521</v>
      </c>
      <c r="C78" t="s">
        <v>1522</v>
      </c>
      <c r="H78" t="s">
        <v>1523</v>
      </c>
      <c r="I78" t="s">
        <v>1524</v>
      </c>
    </row>
    <row r="79" spans="1:9" x14ac:dyDescent="0.25">
      <c r="A79" t="s">
        <v>49</v>
      </c>
      <c r="B79" t="s">
        <v>1305</v>
      </c>
      <c r="C79" t="s">
        <v>1266</v>
      </c>
      <c r="H79" t="s">
        <v>1525</v>
      </c>
      <c r="I79" t="s">
        <v>1526</v>
      </c>
    </row>
    <row r="80" spans="1:9" x14ac:dyDescent="0.25">
      <c r="A80" t="s">
        <v>1527</v>
      </c>
      <c r="B80" t="s">
        <v>1528</v>
      </c>
      <c r="C80" t="s">
        <v>1271</v>
      </c>
      <c r="H80" t="s">
        <v>1529</v>
      </c>
      <c r="I80" t="s">
        <v>1530</v>
      </c>
    </row>
    <row r="81" spans="1:9" x14ac:dyDescent="0.25">
      <c r="A81" t="s">
        <v>1531</v>
      </c>
      <c r="B81" t="s">
        <v>1532</v>
      </c>
      <c r="C81" t="s">
        <v>1533</v>
      </c>
      <c r="H81" t="s">
        <v>1534</v>
      </c>
      <c r="I81" t="s">
        <v>1535</v>
      </c>
    </row>
    <row r="82" spans="1:9" x14ac:dyDescent="0.25">
      <c r="A82" t="s">
        <v>1536</v>
      </c>
      <c r="B82" t="s">
        <v>1537</v>
      </c>
      <c r="C82" t="s">
        <v>1496</v>
      </c>
      <c r="H82" t="s">
        <v>1538</v>
      </c>
      <c r="I82" t="s">
        <v>1539</v>
      </c>
    </row>
    <row r="83" spans="1:9" x14ac:dyDescent="0.25">
      <c r="A83" t="s">
        <v>119</v>
      </c>
      <c r="B83" t="s">
        <v>1540</v>
      </c>
      <c r="C83" t="s">
        <v>1276</v>
      </c>
      <c r="H83" t="s">
        <v>1541</v>
      </c>
      <c r="I83" t="s">
        <v>1542</v>
      </c>
    </row>
    <row r="84" spans="1:9" x14ac:dyDescent="0.25">
      <c r="A84" t="s">
        <v>1543</v>
      </c>
      <c r="B84" t="s">
        <v>1544</v>
      </c>
      <c r="C84" t="s">
        <v>1545</v>
      </c>
      <c r="H84" t="s">
        <v>1546</v>
      </c>
      <c r="I84" t="s">
        <v>1547</v>
      </c>
    </row>
    <row r="85" spans="1:9" x14ac:dyDescent="0.25">
      <c r="A85" t="s">
        <v>1548</v>
      </c>
      <c r="B85" t="s">
        <v>1313</v>
      </c>
      <c r="C85" t="s">
        <v>1281</v>
      </c>
      <c r="H85" t="s">
        <v>1549</v>
      </c>
      <c r="I85" t="s">
        <v>1550</v>
      </c>
    </row>
    <row r="86" spans="1:9" x14ac:dyDescent="0.25">
      <c r="A86" t="s">
        <v>1551</v>
      </c>
      <c r="B86" t="s">
        <v>1316</v>
      </c>
      <c r="C86" t="s">
        <v>1281</v>
      </c>
      <c r="H86" t="s">
        <v>1552</v>
      </c>
      <c r="I86" t="s">
        <v>1553</v>
      </c>
    </row>
    <row r="87" spans="1:9" x14ac:dyDescent="0.25">
      <c r="A87" t="s">
        <v>1554</v>
      </c>
      <c r="B87" t="s">
        <v>1555</v>
      </c>
      <c r="C87" t="s">
        <v>1473</v>
      </c>
      <c r="H87" t="s">
        <v>1556</v>
      </c>
      <c r="I87" t="s">
        <v>1557</v>
      </c>
    </row>
    <row r="88" spans="1:9" x14ac:dyDescent="0.25">
      <c r="A88" t="s">
        <v>1558</v>
      </c>
      <c r="B88" t="s">
        <v>1325</v>
      </c>
      <c r="C88" t="s">
        <v>1301</v>
      </c>
      <c r="H88" t="s">
        <v>1559</v>
      </c>
      <c r="I88" t="s">
        <v>1560</v>
      </c>
    </row>
    <row r="89" spans="1:9" x14ac:dyDescent="0.25">
      <c r="A89" t="s">
        <v>51</v>
      </c>
      <c r="B89" t="s">
        <v>1561</v>
      </c>
      <c r="C89" t="s">
        <v>1266</v>
      </c>
      <c r="H89" t="s">
        <v>1562</v>
      </c>
      <c r="I89" t="s">
        <v>1563</v>
      </c>
    </row>
    <row r="90" spans="1:9" x14ac:dyDescent="0.25">
      <c r="A90" t="s">
        <v>1564</v>
      </c>
      <c r="B90" t="s">
        <v>1565</v>
      </c>
      <c r="C90" t="s">
        <v>1271</v>
      </c>
      <c r="H90" t="s">
        <v>1566</v>
      </c>
      <c r="I90" t="s">
        <v>1567</v>
      </c>
    </row>
    <row r="91" spans="1:9" x14ac:dyDescent="0.25">
      <c r="A91" t="s">
        <v>830</v>
      </c>
      <c r="B91" t="s">
        <v>1568</v>
      </c>
      <c r="C91" t="s">
        <v>1276</v>
      </c>
      <c r="H91" t="s">
        <v>1569</v>
      </c>
      <c r="I91" t="s">
        <v>1570</v>
      </c>
    </row>
    <row r="92" spans="1:9" x14ac:dyDescent="0.25">
      <c r="A92" t="s">
        <v>1571</v>
      </c>
      <c r="B92" t="s">
        <v>1572</v>
      </c>
      <c r="C92" t="s">
        <v>1573</v>
      </c>
      <c r="H92" t="s">
        <v>1574</v>
      </c>
      <c r="I92" t="s">
        <v>1575</v>
      </c>
    </row>
    <row r="93" spans="1:9" x14ac:dyDescent="0.25">
      <c r="A93" t="s">
        <v>125</v>
      </c>
      <c r="B93" t="s">
        <v>1576</v>
      </c>
      <c r="C93" t="s">
        <v>1573</v>
      </c>
      <c r="H93" t="s">
        <v>1577</v>
      </c>
      <c r="I93" t="s">
        <v>1578</v>
      </c>
    </row>
    <row r="94" spans="1:9" x14ac:dyDescent="0.25">
      <c r="A94" t="s">
        <v>1579</v>
      </c>
      <c r="B94" t="s">
        <v>1580</v>
      </c>
      <c r="C94" t="s">
        <v>1581</v>
      </c>
      <c r="H94" t="s">
        <v>1582</v>
      </c>
      <c r="I94" t="s">
        <v>1583</v>
      </c>
    </row>
    <row r="95" spans="1:9" x14ac:dyDescent="0.25">
      <c r="A95" t="s">
        <v>1584</v>
      </c>
      <c r="B95" t="s">
        <v>1488</v>
      </c>
      <c r="C95" t="s">
        <v>1266</v>
      </c>
      <c r="H95" t="s">
        <v>1585</v>
      </c>
      <c r="I95" t="s">
        <v>1586</v>
      </c>
    </row>
    <row r="96" spans="1:9" x14ac:dyDescent="0.25">
      <c r="A96" t="s">
        <v>1587</v>
      </c>
      <c r="B96" t="s">
        <v>1544</v>
      </c>
      <c r="C96" t="s">
        <v>1588</v>
      </c>
      <c r="H96" t="s">
        <v>1589</v>
      </c>
      <c r="I96" t="s">
        <v>1590</v>
      </c>
    </row>
    <row r="97" spans="1:9" x14ac:dyDescent="0.25">
      <c r="A97" t="s">
        <v>1591</v>
      </c>
      <c r="B97" t="s">
        <v>1528</v>
      </c>
      <c r="C97" t="s">
        <v>1592</v>
      </c>
      <c r="H97" t="s">
        <v>1593</v>
      </c>
      <c r="I97" t="s">
        <v>1594</v>
      </c>
    </row>
    <row r="98" spans="1:9" x14ac:dyDescent="0.25">
      <c r="A98" t="s">
        <v>1595</v>
      </c>
      <c r="B98" t="s">
        <v>1561</v>
      </c>
      <c r="C98" t="s">
        <v>1266</v>
      </c>
      <c r="H98" t="s">
        <v>1596</v>
      </c>
      <c r="I98" t="s">
        <v>1597</v>
      </c>
    </row>
    <row r="99" spans="1:9" x14ac:dyDescent="0.25">
      <c r="A99" t="s">
        <v>1598</v>
      </c>
      <c r="B99" t="s">
        <v>1599</v>
      </c>
      <c r="C99" t="s">
        <v>1588</v>
      </c>
      <c r="H99" t="s">
        <v>1600</v>
      </c>
      <c r="I99" t="s">
        <v>1601</v>
      </c>
    </row>
    <row r="100" spans="1:9" x14ac:dyDescent="0.25">
      <c r="A100" t="s">
        <v>1602</v>
      </c>
      <c r="B100" t="s">
        <v>1603</v>
      </c>
      <c r="C100" t="s">
        <v>1260</v>
      </c>
      <c r="H100" t="s">
        <v>1604</v>
      </c>
      <c r="I100" t="s">
        <v>1605</v>
      </c>
    </row>
    <row r="101" spans="1:9" x14ac:dyDescent="0.25">
      <c r="A101" t="s">
        <v>837</v>
      </c>
      <c r="B101" t="s">
        <v>1606</v>
      </c>
      <c r="C101" t="s">
        <v>1260</v>
      </c>
      <c r="H101" t="s">
        <v>1607</v>
      </c>
      <c r="I101" t="s">
        <v>1608</v>
      </c>
    </row>
    <row r="102" spans="1:9" x14ac:dyDescent="0.25">
      <c r="A102" t="s">
        <v>90</v>
      </c>
      <c r="B102" t="s">
        <v>1609</v>
      </c>
      <c r="C102" t="s">
        <v>1260</v>
      </c>
      <c r="H102" t="s">
        <v>1610</v>
      </c>
      <c r="I102" t="s">
        <v>1611</v>
      </c>
    </row>
    <row r="103" spans="1:9" x14ac:dyDescent="0.25">
      <c r="A103" t="s">
        <v>1612</v>
      </c>
      <c r="B103" t="s">
        <v>1613</v>
      </c>
      <c r="C103" t="s">
        <v>1260</v>
      </c>
      <c r="H103" t="s">
        <v>1614</v>
      </c>
      <c r="I103" t="s">
        <v>1615</v>
      </c>
    </row>
    <row r="104" spans="1:9" x14ac:dyDescent="0.25">
      <c r="A104" t="s">
        <v>1616</v>
      </c>
      <c r="B104" t="s">
        <v>1617</v>
      </c>
      <c r="C104" t="s">
        <v>1260</v>
      </c>
      <c r="H104" t="s">
        <v>1618</v>
      </c>
      <c r="I104" t="s">
        <v>1619</v>
      </c>
    </row>
    <row r="105" spans="1:9" x14ac:dyDescent="0.25">
      <c r="A105" t="s">
        <v>1620</v>
      </c>
      <c r="B105" t="s">
        <v>1621</v>
      </c>
      <c r="C105" t="s">
        <v>1409</v>
      </c>
      <c r="H105" t="s">
        <v>1622</v>
      </c>
      <c r="I105" t="s">
        <v>1623</v>
      </c>
    </row>
    <row r="106" spans="1:9" x14ac:dyDescent="0.25">
      <c r="A106" t="s">
        <v>1624</v>
      </c>
      <c r="B106" t="s">
        <v>1625</v>
      </c>
      <c r="C106" t="s">
        <v>1409</v>
      </c>
      <c r="H106" t="s">
        <v>1626</v>
      </c>
      <c r="I106" t="s">
        <v>1627</v>
      </c>
    </row>
    <row r="107" spans="1:9" x14ac:dyDescent="0.25">
      <c r="A107" t="s">
        <v>1628</v>
      </c>
      <c r="B107" t="s">
        <v>1629</v>
      </c>
      <c r="C107" t="s">
        <v>1630</v>
      </c>
      <c r="H107" t="s">
        <v>1631</v>
      </c>
      <c r="I107" t="s">
        <v>1632</v>
      </c>
    </row>
    <row r="108" spans="1:9" x14ac:dyDescent="0.25">
      <c r="A108" t="s">
        <v>1633</v>
      </c>
      <c r="B108" t="s">
        <v>1634</v>
      </c>
      <c r="C108" t="s">
        <v>1635</v>
      </c>
      <c r="H108" t="s">
        <v>1636</v>
      </c>
      <c r="I108" t="s">
        <v>1637</v>
      </c>
    </row>
    <row r="109" spans="1:9" x14ac:dyDescent="0.25">
      <c r="A109" t="s">
        <v>1638</v>
      </c>
      <c r="B109" t="s">
        <v>1639</v>
      </c>
      <c r="C109" t="s">
        <v>1630</v>
      </c>
      <c r="H109" t="s">
        <v>1640</v>
      </c>
      <c r="I109" t="s">
        <v>1641</v>
      </c>
    </row>
    <row r="110" spans="1:9" x14ac:dyDescent="0.25">
      <c r="A110" t="s">
        <v>1642</v>
      </c>
      <c r="B110" t="s">
        <v>1643</v>
      </c>
      <c r="C110" t="s">
        <v>1635</v>
      </c>
      <c r="H110" t="s">
        <v>1644</v>
      </c>
      <c r="I110" t="s">
        <v>1645</v>
      </c>
    </row>
    <row r="111" spans="1:9" x14ac:dyDescent="0.25">
      <c r="A111" t="s">
        <v>67</v>
      </c>
      <c r="B111" t="s">
        <v>1646</v>
      </c>
      <c r="C111" t="s">
        <v>1630</v>
      </c>
      <c r="H111" t="s">
        <v>526</v>
      </c>
      <c r="I111" t="s">
        <v>1647</v>
      </c>
    </row>
    <row r="112" spans="1:9" x14ac:dyDescent="0.25">
      <c r="A112" t="s">
        <v>1648</v>
      </c>
      <c r="B112" t="s">
        <v>1649</v>
      </c>
      <c r="C112" t="s">
        <v>1650</v>
      </c>
      <c r="H112" t="s">
        <v>971</v>
      </c>
      <c r="I112" t="s">
        <v>1651</v>
      </c>
    </row>
    <row r="113" spans="1:9" x14ac:dyDescent="0.25">
      <c r="A113" t="s">
        <v>1652</v>
      </c>
      <c r="B113" t="s">
        <v>1653</v>
      </c>
      <c r="C113" t="s">
        <v>1654</v>
      </c>
      <c r="H113" t="s">
        <v>1655</v>
      </c>
      <c r="I113" t="s">
        <v>1656</v>
      </c>
    </row>
    <row r="114" spans="1:9" x14ac:dyDescent="0.25">
      <c r="A114" t="s">
        <v>1657</v>
      </c>
      <c r="B114" t="s">
        <v>1658</v>
      </c>
      <c r="C114" t="s">
        <v>1659</v>
      </c>
      <c r="H114" t="s">
        <v>1660</v>
      </c>
      <c r="I114" t="s">
        <v>1661</v>
      </c>
    </row>
    <row r="115" spans="1:9" x14ac:dyDescent="0.25">
      <c r="A115" t="s">
        <v>1662</v>
      </c>
      <c r="B115" t="s">
        <v>1663</v>
      </c>
      <c r="C115" t="s">
        <v>1650</v>
      </c>
      <c r="H115" t="s">
        <v>1664</v>
      </c>
      <c r="I115" t="s">
        <v>1665</v>
      </c>
    </row>
    <row r="116" spans="1:9" x14ac:dyDescent="0.25">
      <c r="A116" t="s">
        <v>75</v>
      </c>
      <c r="B116" t="s">
        <v>1666</v>
      </c>
      <c r="C116" t="s">
        <v>1630</v>
      </c>
      <c r="H116" t="s">
        <v>1667</v>
      </c>
      <c r="I116" t="s">
        <v>1668</v>
      </c>
    </row>
    <row r="117" spans="1:9" x14ac:dyDescent="0.25">
      <c r="A117" t="s">
        <v>1669</v>
      </c>
      <c r="B117" t="s">
        <v>1670</v>
      </c>
      <c r="C117" t="s">
        <v>1671</v>
      </c>
      <c r="H117" t="s">
        <v>1672</v>
      </c>
      <c r="I117" t="s">
        <v>1673</v>
      </c>
    </row>
    <row r="118" spans="1:9" x14ac:dyDescent="0.25">
      <c r="A118" t="s">
        <v>1674</v>
      </c>
      <c r="B118" t="s">
        <v>1675</v>
      </c>
      <c r="C118" t="s">
        <v>1676</v>
      </c>
      <c r="H118" t="s">
        <v>1677</v>
      </c>
      <c r="I118" t="s">
        <v>1678</v>
      </c>
    </row>
    <row r="119" spans="1:9" x14ac:dyDescent="0.25">
      <c r="A119" t="s">
        <v>118</v>
      </c>
      <c r="B119" t="s">
        <v>1679</v>
      </c>
      <c r="C119" t="s">
        <v>1654</v>
      </c>
      <c r="H119" t="s">
        <v>1680</v>
      </c>
      <c r="I119" t="s">
        <v>1681</v>
      </c>
    </row>
    <row r="120" spans="1:9" x14ac:dyDescent="0.25">
      <c r="A120" t="s">
        <v>1682</v>
      </c>
      <c r="B120" t="s">
        <v>1683</v>
      </c>
      <c r="C120" t="s">
        <v>1684</v>
      </c>
      <c r="H120" t="s">
        <v>1685</v>
      </c>
      <c r="I120" t="s">
        <v>1686</v>
      </c>
    </row>
    <row r="121" spans="1:9" x14ac:dyDescent="0.25">
      <c r="A121" t="s">
        <v>1687</v>
      </c>
      <c r="B121" t="s">
        <v>1688</v>
      </c>
      <c r="C121" t="s">
        <v>1684</v>
      </c>
      <c r="H121" t="s">
        <v>1689</v>
      </c>
      <c r="I121" t="s">
        <v>1690</v>
      </c>
    </row>
    <row r="122" spans="1:9" x14ac:dyDescent="0.25">
      <c r="A122" t="s">
        <v>1691</v>
      </c>
      <c r="B122" t="s">
        <v>1692</v>
      </c>
      <c r="C122" t="s">
        <v>1684</v>
      </c>
      <c r="H122" t="s">
        <v>1693</v>
      </c>
      <c r="I122" t="s">
        <v>1694</v>
      </c>
    </row>
    <row r="123" spans="1:9" x14ac:dyDescent="0.25">
      <c r="A123" t="s">
        <v>1695</v>
      </c>
      <c r="B123" t="s">
        <v>1696</v>
      </c>
      <c r="C123" t="s">
        <v>1684</v>
      </c>
      <c r="H123" t="s">
        <v>1697</v>
      </c>
      <c r="I123" t="s">
        <v>1698</v>
      </c>
    </row>
    <row r="124" spans="1:9" x14ac:dyDescent="0.25">
      <c r="A124" t="s">
        <v>1699</v>
      </c>
      <c r="B124" t="s">
        <v>1700</v>
      </c>
      <c r="C124" t="s">
        <v>1684</v>
      </c>
      <c r="H124" t="s">
        <v>1701</v>
      </c>
      <c r="I124" t="s">
        <v>1702</v>
      </c>
    </row>
    <row r="125" spans="1:9" x14ac:dyDescent="0.25">
      <c r="A125" t="s">
        <v>505</v>
      </c>
      <c r="B125" t="s">
        <v>1703</v>
      </c>
      <c r="C125" t="s">
        <v>1684</v>
      </c>
      <c r="H125" t="s">
        <v>1704</v>
      </c>
      <c r="I125" t="s">
        <v>1702</v>
      </c>
    </row>
    <row r="126" spans="1:9" x14ac:dyDescent="0.25">
      <c r="A126" t="s">
        <v>1171</v>
      </c>
      <c r="B126" t="s">
        <v>1705</v>
      </c>
      <c r="C126" t="s">
        <v>1684</v>
      </c>
      <c r="H126" t="s">
        <v>1706</v>
      </c>
      <c r="I126" t="s">
        <v>1707</v>
      </c>
    </row>
    <row r="127" spans="1:9" x14ac:dyDescent="0.25">
      <c r="A127" t="s">
        <v>1708</v>
      </c>
      <c r="B127" t="s">
        <v>1709</v>
      </c>
      <c r="C127" t="s">
        <v>1684</v>
      </c>
      <c r="H127" t="s">
        <v>665</v>
      </c>
      <c r="I127" t="s">
        <v>1707</v>
      </c>
    </row>
    <row r="128" spans="1:9" x14ac:dyDescent="0.25">
      <c r="A128" t="s">
        <v>1710</v>
      </c>
      <c r="B128" t="s">
        <v>1711</v>
      </c>
      <c r="C128" t="s">
        <v>1684</v>
      </c>
      <c r="H128" t="s">
        <v>1712</v>
      </c>
      <c r="I128" t="s">
        <v>1713</v>
      </c>
    </row>
    <row r="129" spans="1:9" x14ac:dyDescent="0.25">
      <c r="A129" t="s">
        <v>444</v>
      </c>
      <c r="B129" t="s">
        <v>1714</v>
      </c>
      <c r="C129" t="s">
        <v>1684</v>
      </c>
      <c r="H129" t="s">
        <v>199</v>
      </c>
      <c r="I129" t="s">
        <v>1713</v>
      </c>
    </row>
    <row r="130" spans="1:9" x14ac:dyDescent="0.25">
      <c r="A130" t="s">
        <v>174</v>
      </c>
      <c r="B130" t="s">
        <v>1715</v>
      </c>
      <c r="C130" t="s">
        <v>1684</v>
      </c>
      <c r="H130" t="s">
        <v>1716</v>
      </c>
      <c r="I130" t="s">
        <v>1717</v>
      </c>
    </row>
    <row r="131" spans="1:9" x14ac:dyDescent="0.25">
      <c r="A131" t="s">
        <v>1718</v>
      </c>
      <c r="B131" t="s">
        <v>1719</v>
      </c>
      <c r="C131" t="s">
        <v>1684</v>
      </c>
      <c r="H131" t="s">
        <v>158</v>
      </c>
      <c r="I131" t="s">
        <v>1717</v>
      </c>
    </row>
    <row r="132" spans="1:9" x14ac:dyDescent="0.25">
      <c r="A132" t="s">
        <v>1720</v>
      </c>
      <c r="B132" t="s">
        <v>1721</v>
      </c>
      <c r="C132" t="s">
        <v>1684</v>
      </c>
      <c r="H132" t="s">
        <v>1722</v>
      </c>
      <c r="I132" t="s">
        <v>1723</v>
      </c>
    </row>
    <row r="133" spans="1:9" x14ac:dyDescent="0.25">
      <c r="A133" t="s">
        <v>1724</v>
      </c>
      <c r="B133" t="s">
        <v>1725</v>
      </c>
      <c r="C133" t="s">
        <v>1684</v>
      </c>
      <c r="H133" t="s">
        <v>1726</v>
      </c>
      <c r="I133" t="s">
        <v>1723</v>
      </c>
    </row>
    <row r="134" spans="1:9" x14ac:dyDescent="0.25">
      <c r="A134" t="s">
        <v>1727</v>
      </c>
      <c r="B134" t="s">
        <v>1728</v>
      </c>
      <c r="C134" t="s">
        <v>1684</v>
      </c>
      <c r="H134" t="s">
        <v>1729</v>
      </c>
      <c r="I134" t="s">
        <v>1730</v>
      </c>
    </row>
    <row r="135" spans="1:9" x14ac:dyDescent="0.25">
      <c r="A135" t="s">
        <v>1731</v>
      </c>
      <c r="B135" t="s">
        <v>1732</v>
      </c>
      <c r="C135" t="s">
        <v>1684</v>
      </c>
      <c r="H135" t="s">
        <v>1733</v>
      </c>
      <c r="I135" t="s">
        <v>1730</v>
      </c>
    </row>
    <row r="136" spans="1:9" x14ac:dyDescent="0.25">
      <c r="A136" t="s">
        <v>1734</v>
      </c>
      <c r="B136" t="s">
        <v>1735</v>
      </c>
      <c r="C136" t="s">
        <v>1684</v>
      </c>
      <c r="H136" t="s">
        <v>1736</v>
      </c>
      <c r="I136" t="s">
        <v>1737</v>
      </c>
    </row>
    <row r="137" spans="1:9" x14ac:dyDescent="0.25">
      <c r="A137" t="s">
        <v>1738</v>
      </c>
      <c r="B137" t="s">
        <v>1739</v>
      </c>
      <c r="C137" t="s">
        <v>1684</v>
      </c>
      <c r="H137" t="s">
        <v>1069</v>
      </c>
      <c r="I137" t="s">
        <v>1737</v>
      </c>
    </row>
    <row r="138" spans="1:9" x14ac:dyDescent="0.25">
      <c r="A138" t="s">
        <v>1740</v>
      </c>
      <c r="B138" t="s">
        <v>1741</v>
      </c>
      <c r="C138" t="s">
        <v>1742</v>
      </c>
      <c r="H138" t="s">
        <v>1743</v>
      </c>
      <c r="I138" t="s">
        <v>1744</v>
      </c>
    </row>
    <row r="139" spans="1:9" x14ac:dyDescent="0.25">
      <c r="A139" t="s">
        <v>1745</v>
      </c>
      <c r="B139" t="s">
        <v>1746</v>
      </c>
      <c r="C139" t="s">
        <v>1742</v>
      </c>
      <c r="H139" t="s">
        <v>1747</v>
      </c>
      <c r="I139" t="s">
        <v>1744</v>
      </c>
    </row>
    <row r="140" spans="1:9" x14ac:dyDescent="0.25">
      <c r="A140" t="s">
        <v>1748</v>
      </c>
      <c r="B140" t="s">
        <v>1749</v>
      </c>
      <c r="C140" t="s">
        <v>1742</v>
      </c>
      <c r="H140" t="s">
        <v>1750</v>
      </c>
      <c r="I140" t="s">
        <v>1751</v>
      </c>
    </row>
    <row r="141" spans="1:9" x14ac:dyDescent="0.25">
      <c r="A141" t="s">
        <v>1752</v>
      </c>
      <c r="B141" t="s">
        <v>1753</v>
      </c>
      <c r="C141" t="s">
        <v>1754</v>
      </c>
      <c r="H141" t="s">
        <v>1755</v>
      </c>
      <c r="I141" t="s">
        <v>1751</v>
      </c>
    </row>
    <row r="142" spans="1:9" x14ac:dyDescent="0.25">
      <c r="A142" t="s">
        <v>1756</v>
      </c>
      <c r="B142" t="s">
        <v>1753</v>
      </c>
      <c r="C142" t="s">
        <v>1754</v>
      </c>
      <c r="H142" t="s">
        <v>1757</v>
      </c>
      <c r="I142" t="s">
        <v>1758</v>
      </c>
    </row>
    <row r="143" spans="1:9" x14ac:dyDescent="0.25">
      <c r="A143" t="s">
        <v>1759</v>
      </c>
      <c r="B143" t="s">
        <v>1760</v>
      </c>
      <c r="C143" t="s">
        <v>1754</v>
      </c>
      <c r="H143" t="s">
        <v>1761</v>
      </c>
      <c r="I143" t="s">
        <v>1758</v>
      </c>
    </row>
    <row r="144" spans="1:9" x14ac:dyDescent="0.25">
      <c r="A144" t="s">
        <v>1762</v>
      </c>
      <c r="B144" t="s">
        <v>1760</v>
      </c>
      <c r="C144" t="s">
        <v>1754</v>
      </c>
      <c r="H144" t="s">
        <v>1763</v>
      </c>
      <c r="I144" t="s">
        <v>1764</v>
      </c>
    </row>
    <row r="145" spans="1:9" x14ac:dyDescent="0.25">
      <c r="A145" t="s">
        <v>1765</v>
      </c>
      <c r="B145" t="s">
        <v>1746</v>
      </c>
      <c r="C145" t="s">
        <v>1754</v>
      </c>
      <c r="H145" t="s">
        <v>1766</v>
      </c>
      <c r="I145" t="s">
        <v>1764</v>
      </c>
    </row>
    <row r="146" spans="1:9" x14ac:dyDescent="0.25">
      <c r="A146" t="s">
        <v>1767</v>
      </c>
      <c r="B146" t="s">
        <v>1768</v>
      </c>
      <c r="C146" t="s">
        <v>1754</v>
      </c>
      <c r="H146" t="s">
        <v>1769</v>
      </c>
      <c r="I146" t="s">
        <v>1764</v>
      </c>
    </row>
    <row r="147" spans="1:9" x14ac:dyDescent="0.25">
      <c r="A147" t="s">
        <v>1770</v>
      </c>
      <c r="B147" t="s">
        <v>1771</v>
      </c>
      <c r="C147" t="s">
        <v>1772</v>
      </c>
      <c r="H147" t="s">
        <v>1773</v>
      </c>
      <c r="I147" t="s">
        <v>1764</v>
      </c>
    </row>
    <row r="148" spans="1:9" x14ac:dyDescent="0.25">
      <c r="A148" t="s">
        <v>1774</v>
      </c>
      <c r="B148" t="s">
        <v>1775</v>
      </c>
      <c r="C148" t="s">
        <v>1772</v>
      </c>
      <c r="H148" t="s">
        <v>1776</v>
      </c>
      <c r="I148" t="s">
        <v>1777</v>
      </c>
    </row>
    <row r="149" spans="1:9" x14ac:dyDescent="0.25">
      <c r="A149" t="s">
        <v>1778</v>
      </c>
      <c r="B149" t="s">
        <v>1779</v>
      </c>
      <c r="C149" t="s">
        <v>1772</v>
      </c>
      <c r="H149" t="s">
        <v>1780</v>
      </c>
      <c r="I149" t="s">
        <v>1777</v>
      </c>
    </row>
    <row r="150" spans="1:9" x14ac:dyDescent="0.25">
      <c r="A150" t="s">
        <v>1781</v>
      </c>
      <c r="B150" t="s">
        <v>1782</v>
      </c>
      <c r="C150" t="s">
        <v>1783</v>
      </c>
      <c r="H150" t="s">
        <v>1784</v>
      </c>
      <c r="I150" t="s">
        <v>1777</v>
      </c>
    </row>
    <row r="151" spans="1:9" x14ac:dyDescent="0.25">
      <c r="H151" t="s">
        <v>1785</v>
      </c>
      <c r="I151" t="s">
        <v>1777</v>
      </c>
    </row>
    <row r="152" spans="1:9" x14ac:dyDescent="0.25">
      <c r="H152" t="s">
        <v>1786</v>
      </c>
      <c r="I152" t="s">
        <v>1787</v>
      </c>
    </row>
    <row r="153" spans="1:9" x14ac:dyDescent="0.25">
      <c r="H153" t="s">
        <v>1788</v>
      </c>
      <c r="I153" t="s">
        <v>1787</v>
      </c>
    </row>
    <row r="154" spans="1:9" x14ac:dyDescent="0.25">
      <c r="H154" t="s">
        <v>1789</v>
      </c>
      <c r="I154" t="s">
        <v>1787</v>
      </c>
    </row>
    <row r="155" spans="1:9" x14ac:dyDescent="0.25">
      <c r="H155" t="s">
        <v>1790</v>
      </c>
      <c r="I155" t="s">
        <v>1787</v>
      </c>
    </row>
    <row r="156" spans="1:9" x14ac:dyDescent="0.25">
      <c r="H156" t="s">
        <v>1791</v>
      </c>
      <c r="I156" t="s">
        <v>1792</v>
      </c>
    </row>
    <row r="157" spans="1:9" x14ac:dyDescent="0.25">
      <c r="H157" t="s">
        <v>1793</v>
      </c>
      <c r="I157" t="s">
        <v>1792</v>
      </c>
    </row>
    <row r="158" spans="1:9" x14ac:dyDescent="0.25">
      <c r="H158" t="s">
        <v>1794</v>
      </c>
      <c r="I158" t="s">
        <v>1792</v>
      </c>
    </row>
    <row r="159" spans="1:9" x14ac:dyDescent="0.25">
      <c r="H159" t="s">
        <v>1795</v>
      </c>
      <c r="I159" t="s">
        <v>1792</v>
      </c>
    </row>
    <row r="160" spans="1:9" x14ac:dyDescent="0.25">
      <c r="H160" t="s">
        <v>1796</v>
      </c>
      <c r="I160" t="s">
        <v>1797</v>
      </c>
    </row>
    <row r="161" spans="8:9" x14ac:dyDescent="0.25">
      <c r="H161" t="s">
        <v>1798</v>
      </c>
      <c r="I161" t="s">
        <v>1797</v>
      </c>
    </row>
    <row r="162" spans="8:9" x14ac:dyDescent="0.25">
      <c r="H162" t="s">
        <v>1799</v>
      </c>
      <c r="I162" t="s">
        <v>1797</v>
      </c>
    </row>
    <row r="163" spans="8:9" x14ac:dyDescent="0.25">
      <c r="H163" t="s">
        <v>1800</v>
      </c>
      <c r="I163" t="s">
        <v>1797</v>
      </c>
    </row>
    <row r="164" spans="8:9" x14ac:dyDescent="0.25">
      <c r="H164" t="s">
        <v>1801</v>
      </c>
      <c r="I164" t="s">
        <v>1802</v>
      </c>
    </row>
    <row r="165" spans="8:9" x14ac:dyDescent="0.25">
      <c r="H165" t="s">
        <v>1803</v>
      </c>
      <c r="I165" t="s">
        <v>1804</v>
      </c>
    </row>
    <row r="166" spans="8:9" x14ac:dyDescent="0.25">
      <c r="H166" t="s">
        <v>1805</v>
      </c>
      <c r="I166" t="s">
        <v>1802</v>
      </c>
    </row>
    <row r="167" spans="8:9" x14ac:dyDescent="0.25">
      <c r="H167" t="s">
        <v>1806</v>
      </c>
      <c r="I167" t="s">
        <v>1802</v>
      </c>
    </row>
    <row r="168" spans="8:9" x14ac:dyDescent="0.25">
      <c r="H168" t="s">
        <v>1807</v>
      </c>
      <c r="I168" t="s">
        <v>1804</v>
      </c>
    </row>
    <row r="169" spans="8:9" x14ac:dyDescent="0.25">
      <c r="H169" t="s">
        <v>1808</v>
      </c>
      <c r="I169" t="s">
        <v>1804</v>
      </c>
    </row>
    <row r="170" spans="8:9" x14ac:dyDescent="0.25">
      <c r="H170" t="s">
        <v>1809</v>
      </c>
      <c r="I170" t="s">
        <v>1810</v>
      </c>
    </row>
    <row r="171" spans="8:9" x14ac:dyDescent="0.25">
      <c r="H171" t="s">
        <v>1811</v>
      </c>
      <c r="I171" t="s">
        <v>1812</v>
      </c>
    </row>
    <row r="172" spans="8:9" x14ac:dyDescent="0.25">
      <c r="H172" t="s">
        <v>1813</v>
      </c>
      <c r="I172" t="s">
        <v>1810</v>
      </c>
    </row>
    <row r="173" spans="8:9" x14ac:dyDescent="0.25">
      <c r="H173" t="s">
        <v>1814</v>
      </c>
      <c r="I173" t="s">
        <v>1810</v>
      </c>
    </row>
    <row r="174" spans="8:9" x14ac:dyDescent="0.25">
      <c r="H174" t="s">
        <v>1815</v>
      </c>
      <c r="I174" t="s">
        <v>1812</v>
      </c>
    </row>
    <row r="175" spans="8:9" x14ac:dyDescent="0.25">
      <c r="H175" t="s">
        <v>1816</v>
      </c>
      <c r="I175" t="s">
        <v>1812</v>
      </c>
    </row>
    <row r="176" spans="8:9" x14ac:dyDescent="0.25">
      <c r="H176" t="s">
        <v>1817</v>
      </c>
      <c r="I176" t="s">
        <v>1818</v>
      </c>
    </row>
    <row r="177" spans="8:9" x14ac:dyDescent="0.25">
      <c r="H177" t="s">
        <v>1056</v>
      </c>
      <c r="I177" t="s">
        <v>1819</v>
      </c>
    </row>
    <row r="178" spans="8:9" x14ac:dyDescent="0.25">
      <c r="H178" t="s">
        <v>1820</v>
      </c>
      <c r="I178" t="s">
        <v>1818</v>
      </c>
    </row>
    <row r="179" spans="8:9" x14ac:dyDescent="0.25">
      <c r="H179" t="s">
        <v>1821</v>
      </c>
      <c r="I179" t="s">
        <v>1818</v>
      </c>
    </row>
    <row r="180" spans="8:9" x14ac:dyDescent="0.25">
      <c r="H180" t="s">
        <v>1822</v>
      </c>
      <c r="I180" t="s">
        <v>1819</v>
      </c>
    </row>
    <row r="181" spans="8:9" x14ac:dyDescent="0.25">
      <c r="H181" t="s">
        <v>1823</v>
      </c>
      <c r="I181" t="s">
        <v>1819</v>
      </c>
    </row>
    <row r="182" spans="8:9" x14ac:dyDescent="0.25">
      <c r="H182" t="s">
        <v>1824</v>
      </c>
      <c r="I182" t="s">
        <v>1825</v>
      </c>
    </row>
    <row r="183" spans="8:9" x14ac:dyDescent="0.25">
      <c r="H183" t="s">
        <v>1826</v>
      </c>
      <c r="I183" t="s">
        <v>1827</v>
      </c>
    </row>
    <row r="184" spans="8:9" x14ac:dyDescent="0.25">
      <c r="H184" t="s">
        <v>1828</v>
      </c>
      <c r="I184" t="s">
        <v>1825</v>
      </c>
    </row>
    <row r="185" spans="8:9" x14ac:dyDescent="0.25">
      <c r="H185" t="s">
        <v>1829</v>
      </c>
      <c r="I185" t="s">
        <v>1825</v>
      </c>
    </row>
    <row r="186" spans="8:9" x14ac:dyDescent="0.25">
      <c r="H186" t="s">
        <v>1830</v>
      </c>
      <c r="I186" t="s">
        <v>1827</v>
      </c>
    </row>
    <row r="187" spans="8:9" x14ac:dyDescent="0.25">
      <c r="H187" t="s">
        <v>1831</v>
      </c>
      <c r="I187" t="s">
        <v>1827</v>
      </c>
    </row>
    <row r="188" spans="8:9" x14ac:dyDescent="0.25">
      <c r="H188" t="s">
        <v>1832</v>
      </c>
      <c r="I188" t="s">
        <v>1833</v>
      </c>
    </row>
    <row r="189" spans="8:9" x14ac:dyDescent="0.25">
      <c r="H189" t="s">
        <v>1834</v>
      </c>
      <c r="I189" t="s">
        <v>1723</v>
      </c>
    </row>
    <row r="190" spans="8:9" x14ac:dyDescent="0.25">
      <c r="H190" t="s">
        <v>1835</v>
      </c>
      <c r="I190" t="s">
        <v>1833</v>
      </c>
    </row>
    <row r="191" spans="8:9" x14ac:dyDescent="0.25">
      <c r="H191" t="s">
        <v>1836</v>
      </c>
      <c r="I191" t="s">
        <v>1833</v>
      </c>
    </row>
    <row r="192" spans="8:9" x14ac:dyDescent="0.25">
      <c r="H192" t="s">
        <v>1837</v>
      </c>
      <c r="I192" t="s">
        <v>1723</v>
      </c>
    </row>
    <row r="193" spans="8:10" x14ac:dyDescent="0.25">
      <c r="H193" t="s">
        <v>1838</v>
      </c>
      <c r="I193" t="s">
        <v>1839</v>
      </c>
    </row>
    <row r="194" spans="8:10" x14ac:dyDescent="0.25">
      <c r="H194" t="s">
        <v>1840</v>
      </c>
      <c r="I194" t="s">
        <v>1723</v>
      </c>
    </row>
    <row r="195" spans="8:10" x14ac:dyDescent="0.25">
      <c r="H195" t="s">
        <v>1841</v>
      </c>
      <c r="I195" t="s">
        <v>1819</v>
      </c>
    </row>
    <row r="196" spans="8:10" x14ac:dyDescent="0.25">
      <c r="H196" t="s">
        <v>1842</v>
      </c>
      <c r="I196" t="s">
        <v>1843</v>
      </c>
      <c r="J196" t="s">
        <v>1844</v>
      </c>
    </row>
    <row r="197" spans="8:10" x14ac:dyDescent="0.25">
      <c r="H197" t="s">
        <v>1845</v>
      </c>
      <c r="I197" t="s">
        <v>1846</v>
      </c>
      <c r="J197" t="s">
        <v>1847</v>
      </c>
    </row>
    <row r="198" spans="8:10" x14ac:dyDescent="0.25">
      <c r="H198" t="s">
        <v>1848</v>
      </c>
      <c r="I198" t="s">
        <v>1849</v>
      </c>
      <c r="J198" t="s">
        <v>1850</v>
      </c>
    </row>
    <row r="199" spans="8:10" x14ac:dyDescent="0.25">
      <c r="H199" t="s">
        <v>1851</v>
      </c>
      <c r="I199" t="s">
        <v>1852</v>
      </c>
      <c r="J199" t="s">
        <v>1850</v>
      </c>
    </row>
    <row r="200" spans="8:10" x14ac:dyDescent="0.25">
      <c r="H200" t="s">
        <v>1853</v>
      </c>
      <c r="I200" t="s">
        <v>1854</v>
      </c>
    </row>
    <row r="201" spans="8:10" x14ac:dyDescent="0.25">
      <c r="H201" t="s">
        <v>1855</v>
      </c>
      <c r="I201" t="s">
        <v>1856</v>
      </c>
    </row>
    <row r="202" spans="8:10" x14ac:dyDescent="0.25">
      <c r="H202" t="s">
        <v>1857</v>
      </c>
      <c r="I202" t="s">
        <v>1858</v>
      </c>
    </row>
    <row r="203" spans="8:10" x14ac:dyDescent="0.25">
      <c r="H203" t="s">
        <v>1859</v>
      </c>
      <c r="I203" t="s">
        <v>1860</v>
      </c>
    </row>
    <row r="204" spans="8:10" x14ac:dyDescent="0.25">
      <c r="H204" t="s">
        <v>1861</v>
      </c>
      <c r="I204" t="s">
        <v>1862</v>
      </c>
    </row>
    <row r="205" spans="8:10" x14ac:dyDescent="0.25">
      <c r="H205" t="s">
        <v>528</v>
      </c>
      <c r="I205" t="s">
        <v>1863</v>
      </c>
    </row>
    <row r="206" spans="8:10" x14ac:dyDescent="0.25">
      <c r="H206" t="s">
        <v>1864</v>
      </c>
      <c r="I206" t="s">
        <v>1865</v>
      </c>
    </row>
    <row r="207" spans="8:10" x14ac:dyDescent="0.25">
      <c r="H207" t="s">
        <v>1866</v>
      </c>
      <c r="I207" t="s">
        <v>1867</v>
      </c>
    </row>
    <row r="208" spans="8:10" x14ac:dyDescent="0.25">
      <c r="H208" t="s">
        <v>1868</v>
      </c>
      <c r="I208" t="s">
        <v>1869</v>
      </c>
    </row>
    <row r="209" spans="8:10" x14ac:dyDescent="0.25">
      <c r="H209" t="s">
        <v>1870</v>
      </c>
      <c r="I209" t="s">
        <v>1871</v>
      </c>
    </row>
    <row r="210" spans="8:10" x14ac:dyDescent="0.25">
      <c r="H210" t="s">
        <v>1872</v>
      </c>
      <c r="I210" t="s">
        <v>1873</v>
      </c>
    </row>
    <row r="211" spans="8:10" x14ac:dyDescent="0.25">
      <c r="H211" t="s">
        <v>1874</v>
      </c>
      <c r="I211" t="s">
        <v>1875</v>
      </c>
    </row>
    <row r="212" spans="8:10" x14ac:dyDescent="0.25">
      <c r="H212" t="s">
        <v>1876</v>
      </c>
      <c r="I212" t="s">
        <v>1877</v>
      </c>
    </row>
    <row r="213" spans="8:10" x14ac:dyDescent="0.25">
      <c r="H213" t="s">
        <v>1878</v>
      </c>
      <c r="I213" t="s">
        <v>1879</v>
      </c>
    </row>
    <row r="214" spans="8:10" x14ac:dyDescent="0.25">
      <c r="H214" t="s">
        <v>1880</v>
      </c>
      <c r="I214" t="s">
        <v>1881</v>
      </c>
    </row>
    <row r="215" spans="8:10" x14ac:dyDescent="0.25">
      <c r="H215" t="s">
        <v>1882</v>
      </c>
      <c r="I215" t="s">
        <v>1883</v>
      </c>
    </row>
    <row r="216" spans="8:10" x14ac:dyDescent="0.25">
      <c r="H216" t="s">
        <v>1884</v>
      </c>
      <c r="I216" t="s">
        <v>1885</v>
      </c>
    </row>
    <row r="217" spans="8:10" x14ac:dyDescent="0.25">
      <c r="H217" t="s">
        <v>1886</v>
      </c>
      <c r="I217" t="s">
        <v>1887</v>
      </c>
    </row>
    <row r="218" spans="8:10" x14ac:dyDescent="0.25">
      <c r="H218" t="s">
        <v>1888</v>
      </c>
      <c r="I218" t="s">
        <v>1889</v>
      </c>
      <c r="J218" t="s">
        <v>1890</v>
      </c>
    </row>
    <row r="219" spans="8:10" x14ac:dyDescent="0.25">
      <c r="H219" t="s">
        <v>717</v>
      </c>
      <c r="I219" t="s">
        <v>1891</v>
      </c>
      <c r="J219" t="s">
        <v>1890</v>
      </c>
    </row>
    <row r="220" spans="8:10" x14ac:dyDescent="0.25">
      <c r="H220" t="s">
        <v>1892</v>
      </c>
      <c r="I220" t="s">
        <v>1893</v>
      </c>
      <c r="J220" t="s">
        <v>1890</v>
      </c>
    </row>
    <row r="221" spans="8:10" x14ac:dyDescent="0.25">
      <c r="H221" t="s">
        <v>1894</v>
      </c>
      <c r="I221" t="s">
        <v>1893</v>
      </c>
      <c r="J221" t="s">
        <v>1890</v>
      </c>
    </row>
    <row r="222" spans="8:10" x14ac:dyDescent="0.25">
      <c r="H222" t="s">
        <v>1895</v>
      </c>
      <c r="I222" t="s">
        <v>1896</v>
      </c>
      <c r="J222" t="s">
        <v>1890</v>
      </c>
    </row>
    <row r="223" spans="8:10" x14ac:dyDescent="0.25">
      <c r="H223" t="s">
        <v>1897</v>
      </c>
      <c r="I223" t="s">
        <v>1898</v>
      </c>
      <c r="J223" t="s">
        <v>1890</v>
      </c>
    </row>
    <row r="224" spans="8:10" x14ac:dyDescent="0.25">
      <c r="H224" t="s">
        <v>1899</v>
      </c>
      <c r="I224" t="s">
        <v>1900</v>
      </c>
      <c r="J224" t="s">
        <v>1901</v>
      </c>
    </row>
    <row r="225" spans="8:10" x14ac:dyDescent="0.25">
      <c r="H225" t="s">
        <v>1200</v>
      </c>
      <c r="I225" t="s">
        <v>1902</v>
      </c>
      <c r="J225" t="s">
        <v>1901</v>
      </c>
    </row>
    <row r="226" spans="8:10" x14ac:dyDescent="0.25">
      <c r="H226" t="s">
        <v>1903</v>
      </c>
      <c r="I226" t="s">
        <v>1904</v>
      </c>
      <c r="J226" t="s">
        <v>1901</v>
      </c>
    </row>
    <row r="227" spans="8:10" x14ac:dyDescent="0.25">
      <c r="H227" t="s">
        <v>1905</v>
      </c>
      <c r="I227" t="s">
        <v>1906</v>
      </c>
      <c r="J227" t="s">
        <v>1907</v>
      </c>
    </row>
    <row r="228" spans="8:10" x14ac:dyDescent="0.25">
      <c r="H228" t="s">
        <v>1908</v>
      </c>
      <c r="I228" t="s">
        <v>1909</v>
      </c>
      <c r="J228" t="s">
        <v>1907</v>
      </c>
    </row>
    <row r="229" spans="8:10" x14ac:dyDescent="0.25">
      <c r="H229" t="s">
        <v>1910</v>
      </c>
      <c r="I229" t="s">
        <v>1911</v>
      </c>
    </row>
    <row r="230" spans="8:10" x14ac:dyDescent="0.25">
      <c r="H230" t="s">
        <v>1912</v>
      </c>
      <c r="I230" t="s">
        <v>1913</v>
      </c>
    </row>
    <row r="231" spans="8:10" x14ac:dyDescent="0.25">
      <c r="H231" t="s">
        <v>1914</v>
      </c>
      <c r="I231" t="s">
        <v>1915</v>
      </c>
    </row>
    <row r="232" spans="8:10" x14ac:dyDescent="0.25">
      <c r="H232" t="s">
        <v>1916</v>
      </c>
      <c r="I232" t="s">
        <v>1917</v>
      </c>
    </row>
    <row r="233" spans="8:10" x14ac:dyDescent="0.25">
      <c r="H233" t="s">
        <v>1918</v>
      </c>
      <c r="I233" t="s">
        <v>1919</v>
      </c>
    </row>
    <row r="234" spans="8:10" x14ac:dyDescent="0.25">
      <c r="H234" t="s">
        <v>1920</v>
      </c>
      <c r="I234" t="s">
        <v>1921</v>
      </c>
    </row>
    <row r="235" spans="8:10" x14ac:dyDescent="0.25">
      <c r="H235" t="s">
        <v>1922</v>
      </c>
      <c r="I235" t="s">
        <v>1923</v>
      </c>
    </row>
    <row r="236" spans="8:10" x14ac:dyDescent="0.25">
      <c r="H236" t="s">
        <v>1924</v>
      </c>
      <c r="I236" t="s">
        <v>1925</v>
      </c>
    </row>
    <row r="237" spans="8:10" x14ac:dyDescent="0.25">
      <c r="H237" t="s">
        <v>1926</v>
      </c>
      <c r="I237" t="s">
        <v>1927</v>
      </c>
    </row>
    <row r="238" spans="8:10" x14ac:dyDescent="0.25">
      <c r="H238" t="s">
        <v>1928</v>
      </c>
      <c r="I238" t="s">
        <v>1929</v>
      </c>
    </row>
    <row r="239" spans="8:10" x14ac:dyDescent="0.25">
      <c r="H239" t="s">
        <v>1930</v>
      </c>
      <c r="I239" t="s">
        <v>1931</v>
      </c>
    </row>
    <row r="240" spans="8:10" x14ac:dyDescent="0.25">
      <c r="H240" t="s">
        <v>1932</v>
      </c>
      <c r="I240" t="s">
        <v>1933</v>
      </c>
    </row>
    <row r="241" spans="8:9" x14ac:dyDescent="0.25">
      <c r="H241" t="s">
        <v>1934</v>
      </c>
      <c r="I241" t="s">
        <v>1935</v>
      </c>
    </row>
    <row r="242" spans="8:9" x14ac:dyDescent="0.25">
      <c r="H242" t="s">
        <v>1936</v>
      </c>
      <c r="I242" t="s">
        <v>1937</v>
      </c>
    </row>
    <row r="243" spans="8:9" x14ac:dyDescent="0.25">
      <c r="H243" t="s">
        <v>1938</v>
      </c>
      <c r="I243" t="s">
        <v>1939</v>
      </c>
    </row>
    <row r="244" spans="8:9" x14ac:dyDescent="0.25">
      <c r="H244" t="s">
        <v>1940</v>
      </c>
      <c r="I244" t="s">
        <v>1941</v>
      </c>
    </row>
    <row r="245" spans="8:9" x14ac:dyDescent="0.25">
      <c r="H245" t="s">
        <v>630</v>
      </c>
      <c r="I245" t="s">
        <v>1939</v>
      </c>
    </row>
    <row r="246" spans="8:9" x14ac:dyDescent="0.25">
      <c r="H246" t="s">
        <v>1058</v>
      </c>
      <c r="I246" t="s">
        <v>1942</v>
      </c>
    </row>
    <row r="247" spans="8:9" x14ac:dyDescent="0.25">
      <c r="H247" t="s">
        <v>1943</v>
      </c>
      <c r="I247" t="s">
        <v>1942</v>
      </c>
    </row>
    <row r="248" spans="8:9" x14ac:dyDescent="0.25">
      <c r="H248" t="s">
        <v>1944</v>
      </c>
      <c r="I248" t="s">
        <v>1942</v>
      </c>
    </row>
    <row r="249" spans="8:9" x14ac:dyDescent="0.25">
      <c r="H249" t="s">
        <v>1945</v>
      </c>
      <c r="I249" t="s">
        <v>1946</v>
      </c>
    </row>
    <row r="250" spans="8:9" x14ac:dyDescent="0.25">
      <c r="H250" t="s">
        <v>1947</v>
      </c>
      <c r="I250" t="s">
        <v>1948</v>
      </c>
    </row>
    <row r="251" spans="8:9" x14ac:dyDescent="0.25">
      <c r="H251" t="s">
        <v>1949</v>
      </c>
      <c r="I251" t="s">
        <v>1950</v>
      </c>
    </row>
    <row r="252" spans="8:9" x14ac:dyDescent="0.25">
      <c r="H252" t="s">
        <v>1951</v>
      </c>
      <c r="I252" t="s">
        <v>1952</v>
      </c>
    </row>
    <row r="253" spans="8:9" x14ac:dyDescent="0.25">
      <c r="H253" t="s">
        <v>1953</v>
      </c>
      <c r="I253" t="s">
        <v>1954</v>
      </c>
    </row>
    <row r="254" spans="8:9" x14ac:dyDescent="0.25">
      <c r="H254" t="s">
        <v>1955</v>
      </c>
      <c r="I254" t="s">
        <v>1956</v>
      </c>
    </row>
    <row r="255" spans="8:9" x14ac:dyDescent="0.25">
      <c r="H255" t="s">
        <v>1957</v>
      </c>
      <c r="I255" t="s">
        <v>1958</v>
      </c>
    </row>
    <row r="256" spans="8:9" x14ac:dyDescent="0.25">
      <c r="H256" t="s">
        <v>1959</v>
      </c>
      <c r="I256" t="s">
        <v>1960</v>
      </c>
    </row>
    <row r="257" spans="8:9" x14ac:dyDescent="0.25">
      <c r="H257" t="s">
        <v>1961</v>
      </c>
      <c r="I257" t="s">
        <v>1962</v>
      </c>
    </row>
    <row r="258" spans="8:9" x14ac:dyDescent="0.25">
      <c r="H258" t="s">
        <v>1963</v>
      </c>
      <c r="I258" t="s">
        <v>1964</v>
      </c>
    </row>
    <row r="259" spans="8:9" x14ac:dyDescent="0.25">
      <c r="H259" t="s">
        <v>1965</v>
      </c>
      <c r="I259" t="s">
        <v>1966</v>
      </c>
    </row>
    <row r="260" spans="8:9" x14ac:dyDescent="0.25">
      <c r="H260" t="s">
        <v>1967</v>
      </c>
      <c r="I260" t="s">
        <v>1968</v>
      </c>
    </row>
    <row r="261" spans="8:9" x14ac:dyDescent="0.25">
      <c r="H261" t="s">
        <v>1969</v>
      </c>
      <c r="I261" t="s">
        <v>1970</v>
      </c>
    </row>
    <row r="262" spans="8:9" x14ac:dyDescent="0.25">
      <c r="H262" t="s">
        <v>1971</v>
      </c>
      <c r="I262" t="s">
        <v>1972</v>
      </c>
    </row>
    <row r="263" spans="8:9" x14ac:dyDescent="0.25">
      <c r="H263" t="s">
        <v>1973</v>
      </c>
      <c r="I263" t="s">
        <v>1972</v>
      </c>
    </row>
    <row r="264" spans="8:9" x14ac:dyDescent="0.25">
      <c r="H264" t="s">
        <v>1974</v>
      </c>
      <c r="I264" t="s">
        <v>1975</v>
      </c>
    </row>
    <row r="265" spans="8:9" x14ac:dyDescent="0.25">
      <c r="H265" t="s">
        <v>1976</v>
      </c>
      <c r="I265" t="s">
        <v>1977</v>
      </c>
    </row>
    <row r="266" spans="8:9" x14ac:dyDescent="0.25">
      <c r="H266" t="s">
        <v>1978</v>
      </c>
      <c r="I266" t="s">
        <v>1979</v>
      </c>
    </row>
    <row r="267" spans="8:9" x14ac:dyDescent="0.25">
      <c r="H267" t="s">
        <v>1980</v>
      </c>
      <c r="I267" t="s">
        <v>1979</v>
      </c>
    </row>
    <row r="268" spans="8:9" x14ac:dyDescent="0.25">
      <c r="H268" t="s">
        <v>1981</v>
      </c>
      <c r="I268" t="s">
        <v>1982</v>
      </c>
    </row>
    <row r="269" spans="8:9" x14ac:dyDescent="0.25">
      <c r="H269" t="s">
        <v>1983</v>
      </c>
      <c r="I269" t="s">
        <v>1982</v>
      </c>
    </row>
    <row r="270" spans="8:9" x14ac:dyDescent="0.25">
      <c r="H270" t="s">
        <v>1976</v>
      </c>
      <c r="I270" t="s">
        <v>1977</v>
      </c>
    </row>
    <row r="271" spans="8:9" x14ac:dyDescent="0.25">
      <c r="H271" t="s">
        <v>1984</v>
      </c>
      <c r="I271" t="s">
        <v>1985</v>
      </c>
    </row>
    <row r="272" spans="8:9" x14ac:dyDescent="0.25">
      <c r="H272" t="s">
        <v>1986</v>
      </c>
      <c r="I272" t="s">
        <v>1985</v>
      </c>
    </row>
    <row r="273" spans="8:9" x14ac:dyDescent="0.25">
      <c r="H273" t="s">
        <v>1987</v>
      </c>
      <c r="I273" t="s">
        <v>1988</v>
      </c>
    </row>
    <row r="274" spans="8:9" x14ac:dyDescent="0.25">
      <c r="H274" t="s">
        <v>1989</v>
      </c>
      <c r="I274" t="s">
        <v>1990</v>
      </c>
    </row>
    <row r="275" spans="8:9" x14ac:dyDescent="0.25">
      <c r="H275" t="s">
        <v>1991</v>
      </c>
      <c r="I275" t="s">
        <v>1992</v>
      </c>
    </row>
    <row r="276" spans="8:9" x14ac:dyDescent="0.25">
      <c r="H276" t="s">
        <v>1993</v>
      </c>
      <c r="I276" t="s">
        <v>1992</v>
      </c>
    </row>
    <row r="277" spans="8:9" x14ac:dyDescent="0.25">
      <c r="H277" t="s">
        <v>1994</v>
      </c>
      <c r="I277" t="s">
        <v>1995</v>
      </c>
    </row>
    <row r="278" spans="8:9" x14ac:dyDescent="0.25">
      <c r="H278" t="s">
        <v>1996</v>
      </c>
      <c r="I278" t="s">
        <v>1997</v>
      </c>
    </row>
    <row r="279" spans="8:9" x14ac:dyDescent="0.25">
      <c r="H279" t="s">
        <v>1998</v>
      </c>
      <c r="I279" t="s">
        <v>1997</v>
      </c>
    </row>
    <row r="280" spans="8:9" x14ac:dyDescent="0.25">
      <c r="H280" t="s">
        <v>1999</v>
      </c>
      <c r="I280" t="s">
        <v>2000</v>
      </c>
    </row>
    <row r="281" spans="8:9" x14ac:dyDescent="0.25">
      <c r="H281" t="s">
        <v>2001</v>
      </c>
      <c r="I281" t="s">
        <v>2002</v>
      </c>
    </row>
    <row r="282" spans="8:9" x14ac:dyDescent="0.25">
      <c r="H282" t="s">
        <v>2003</v>
      </c>
      <c r="I282" t="s">
        <v>2004</v>
      </c>
    </row>
    <row r="283" spans="8:9" x14ac:dyDescent="0.25">
      <c r="H283" t="s">
        <v>2005</v>
      </c>
      <c r="I283" t="s">
        <v>2006</v>
      </c>
    </row>
    <row r="284" spans="8:9" x14ac:dyDescent="0.25">
      <c r="H284" t="s">
        <v>2007</v>
      </c>
      <c r="I284" t="s">
        <v>2008</v>
      </c>
    </row>
    <row r="285" spans="8:9" x14ac:dyDescent="0.25">
      <c r="H285" t="s">
        <v>2009</v>
      </c>
      <c r="I285" t="s">
        <v>2010</v>
      </c>
    </row>
    <row r="286" spans="8:9" x14ac:dyDescent="0.25">
      <c r="H286" t="s">
        <v>2011</v>
      </c>
      <c r="I286" t="s">
        <v>2012</v>
      </c>
    </row>
    <row r="287" spans="8:9" x14ac:dyDescent="0.25">
      <c r="H287" t="s">
        <v>2013</v>
      </c>
      <c r="I287" t="s">
        <v>2014</v>
      </c>
    </row>
    <row r="288" spans="8:9" x14ac:dyDescent="0.25">
      <c r="H288" t="s">
        <v>2015</v>
      </c>
      <c r="I288" t="s">
        <v>2016</v>
      </c>
    </row>
    <row r="289" spans="8:9" x14ac:dyDescent="0.25">
      <c r="H289" t="s">
        <v>2017</v>
      </c>
      <c r="I289" t="s">
        <v>2018</v>
      </c>
    </row>
    <row r="290" spans="8:9" x14ac:dyDescent="0.25">
      <c r="H290" t="s">
        <v>2019</v>
      </c>
      <c r="I290" t="s">
        <v>2020</v>
      </c>
    </row>
    <row r="291" spans="8:9" x14ac:dyDescent="0.25">
      <c r="H291" t="s">
        <v>2021</v>
      </c>
      <c r="I291" t="s">
        <v>2022</v>
      </c>
    </row>
    <row r="292" spans="8:9" x14ac:dyDescent="0.25">
      <c r="H292" t="s">
        <v>2023</v>
      </c>
      <c r="I292" t="s">
        <v>2024</v>
      </c>
    </row>
    <row r="293" spans="8:9" x14ac:dyDescent="0.25">
      <c r="H293" t="s">
        <v>2025</v>
      </c>
      <c r="I293" t="s">
        <v>2026</v>
      </c>
    </row>
    <row r="294" spans="8:9" x14ac:dyDescent="0.25">
      <c r="H294" t="s">
        <v>2027</v>
      </c>
      <c r="I294" t="s">
        <v>2028</v>
      </c>
    </row>
    <row r="295" spans="8:9" x14ac:dyDescent="0.25">
      <c r="H295" t="s">
        <v>2029</v>
      </c>
      <c r="I295" t="s">
        <v>2030</v>
      </c>
    </row>
    <row r="296" spans="8:9" x14ac:dyDescent="0.25">
      <c r="H296" t="s">
        <v>2031</v>
      </c>
      <c r="I296" t="s">
        <v>2032</v>
      </c>
    </row>
    <row r="297" spans="8:9" x14ac:dyDescent="0.25">
      <c r="H297" t="s">
        <v>2033</v>
      </c>
      <c r="I297" t="s">
        <v>2034</v>
      </c>
    </row>
    <row r="298" spans="8:9" x14ac:dyDescent="0.25">
      <c r="H298" t="s">
        <v>2035</v>
      </c>
      <c r="I298" t="s">
        <v>2036</v>
      </c>
    </row>
    <row r="299" spans="8:9" x14ac:dyDescent="0.25">
      <c r="H299" t="s">
        <v>2037</v>
      </c>
      <c r="I299" t="s">
        <v>2038</v>
      </c>
    </row>
    <row r="300" spans="8:9" x14ac:dyDescent="0.25">
      <c r="H300" t="s">
        <v>2039</v>
      </c>
      <c r="I300" t="s">
        <v>2040</v>
      </c>
    </row>
    <row r="301" spans="8:9" x14ac:dyDescent="0.25">
      <c r="H301" t="s">
        <v>2041</v>
      </c>
      <c r="I301" t="s">
        <v>2042</v>
      </c>
    </row>
    <row r="302" spans="8:9" x14ac:dyDescent="0.25">
      <c r="H302" t="s">
        <v>2043</v>
      </c>
      <c r="I302" t="s">
        <v>2044</v>
      </c>
    </row>
    <row r="303" spans="8:9" x14ac:dyDescent="0.25">
      <c r="H303" t="s">
        <v>2045</v>
      </c>
      <c r="I303" t="s">
        <v>2046</v>
      </c>
    </row>
    <row r="304" spans="8:9" x14ac:dyDescent="0.25">
      <c r="H304" t="s">
        <v>2047</v>
      </c>
      <c r="I304" t="s">
        <v>2048</v>
      </c>
    </row>
    <row r="305" spans="8:9" x14ac:dyDescent="0.25">
      <c r="H305" t="s">
        <v>2049</v>
      </c>
      <c r="I305" t="s">
        <v>2050</v>
      </c>
    </row>
    <row r="306" spans="8:9" x14ac:dyDescent="0.25">
      <c r="H306" t="s">
        <v>2051</v>
      </c>
      <c r="I306" t="s">
        <v>2052</v>
      </c>
    </row>
    <row r="307" spans="8:9" x14ac:dyDescent="0.25">
      <c r="H307" t="s">
        <v>2053</v>
      </c>
      <c r="I307" t="s">
        <v>2054</v>
      </c>
    </row>
    <row r="308" spans="8:9" x14ac:dyDescent="0.25">
      <c r="H308" t="s">
        <v>2055</v>
      </c>
      <c r="I308" t="s">
        <v>2056</v>
      </c>
    </row>
    <row r="309" spans="8:9" x14ac:dyDescent="0.25">
      <c r="H309" t="s">
        <v>2057</v>
      </c>
      <c r="I309" t="s">
        <v>2058</v>
      </c>
    </row>
    <row r="310" spans="8:9" x14ac:dyDescent="0.25">
      <c r="H310" t="s">
        <v>2059</v>
      </c>
      <c r="I310" t="s">
        <v>2060</v>
      </c>
    </row>
    <row r="311" spans="8:9" x14ac:dyDescent="0.25">
      <c r="H311" t="s">
        <v>2039</v>
      </c>
      <c r="I311" t="s">
        <v>2040</v>
      </c>
    </row>
    <row r="312" spans="8:9" x14ac:dyDescent="0.25">
      <c r="H312" t="s">
        <v>2061</v>
      </c>
      <c r="I312" t="s">
        <v>1977</v>
      </c>
    </row>
    <row r="313" spans="8:9" x14ac:dyDescent="0.25">
      <c r="H313" t="s">
        <v>2062</v>
      </c>
      <c r="I313" t="s">
        <v>2063</v>
      </c>
    </row>
    <row r="314" spans="8:9" x14ac:dyDescent="0.25">
      <c r="H314" t="s">
        <v>2064</v>
      </c>
      <c r="I314" t="s">
        <v>2063</v>
      </c>
    </row>
    <row r="315" spans="8:9" x14ac:dyDescent="0.25">
      <c r="H315" t="s">
        <v>2065</v>
      </c>
      <c r="I315" t="s">
        <v>2066</v>
      </c>
    </row>
    <row r="316" spans="8:9" x14ac:dyDescent="0.25">
      <c r="H316" t="s">
        <v>703</v>
      </c>
      <c r="I316" t="s">
        <v>2067</v>
      </c>
    </row>
    <row r="317" spans="8:9" x14ac:dyDescent="0.25">
      <c r="H317" t="s">
        <v>2068</v>
      </c>
      <c r="I317" t="s">
        <v>2069</v>
      </c>
    </row>
    <row r="318" spans="8:9" x14ac:dyDescent="0.25">
      <c r="H318" t="s">
        <v>2070</v>
      </c>
      <c r="I318" t="s">
        <v>2071</v>
      </c>
    </row>
    <row r="319" spans="8:9" x14ac:dyDescent="0.25">
      <c r="H319" t="s">
        <v>2072</v>
      </c>
      <c r="I319" t="s">
        <v>2073</v>
      </c>
    </row>
    <row r="320" spans="8:9" x14ac:dyDescent="0.25">
      <c r="H320" t="s">
        <v>2074</v>
      </c>
      <c r="I320" t="s">
        <v>2075</v>
      </c>
    </row>
    <row r="321" spans="8:10" x14ac:dyDescent="0.25">
      <c r="H321" t="s">
        <v>2076</v>
      </c>
      <c r="I321" t="s">
        <v>2077</v>
      </c>
      <c r="J321" t="s">
        <v>2078</v>
      </c>
    </row>
    <row r="322" spans="8:10" x14ac:dyDescent="0.25">
      <c r="H322" t="s">
        <v>2079</v>
      </c>
      <c r="I322" t="s">
        <v>2080</v>
      </c>
    </row>
    <row r="323" spans="8:10" x14ac:dyDescent="0.25">
      <c r="H323" t="s">
        <v>2081</v>
      </c>
      <c r="I323" t="s">
        <v>2082</v>
      </c>
      <c r="J323" t="s">
        <v>2083</v>
      </c>
    </row>
    <row r="324" spans="8:10" x14ac:dyDescent="0.25">
      <c r="H324" t="s">
        <v>2084</v>
      </c>
      <c r="I324" t="s">
        <v>2085</v>
      </c>
      <c r="J324" t="s">
        <v>2086</v>
      </c>
    </row>
    <row r="325" spans="8:10" x14ac:dyDescent="0.25">
      <c r="H325" t="s">
        <v>2087</v>
      </c>
      <c r="I325" t="s">
        <v>2088</v>
      </c>
      <c r="J325" t="s">
        <v>2086</v>
      </c>
    </row>
    <row r="326" spans="8:10" x14ac:dyDescent="0.25">
      <c r="H326" t="s">
        <v>2089</v>
      </c>
      <c r="I326" t="s">
        <v>2090</v>
      </c>
    </row>
    <row r="327" spans="8:10" x14ac:dyDescent="0.25">
      <c r="H327" t="s">
        <v>2091</v>
      </c>
      <c r="I327" t="s">
        <v>2092</v>
      </c>
    </row>
    <row r="328" spans="8:10" x14ac:dyDescent="0.25">
      <c r="H328" t="s">
        <v>2093</v>
      </c>
      <c r="I328" t="s">
        <v>2094</v>
      </c>
    </row>
    <row r="329" spans="8:10" x14ac:dyDescent="0.25">
      <c r="H329" t="s">
        <v>2095</v>
      </c>
      <c r="I329" t="s">
        <v>2096</v>
      </c>
    </row>
    <row r="330" spans="8:10" x14ac:dyDescent="0.25">
      <c r="H330" t="s">
        <v>2097</v>
      </c>
      <c r="I330" t="s">
        <v>2098</v>
      </c>
    </row>
    <row r="331" spans="8:10" x14ac:dyDescent="0.25">
      <c r="H331" t="s">
        <v>2099</v>
      </c>
      <c r="I331" t="s">
        <v>2100</v>
      </c>
    </row>
    <row r="332" spans="8:10" x14ac:dyDescent="0.25">
      <c r="H332" t="s">
        <v>2101</v>
      </c>
      <c r="I332" t="s">
        <v>2102</v>
      </c>
    </row>
    <row r="333" spans="8:10" x14ac:dyDescent="0.25">
      <c r="H333" t="s">
        <v>2103</v>
      </c>
      <c r="I333" t="s">
        <v>2104</v>
      </c>
    </row>
    <row r="334" spans="8:10" x14ac:dyDescent="0.25">
      <c r="H334" t="s">
        <v>2105</v>
      </c>
      <c r="I334" t="s">
        <v>2106</v>
      </c>
    </row>
    <row r="335" spans="8:10" x14ac:dyDescent="0.25">
      <c r="H335" t="s">
        <v>2107</v>
      </c>
      <c r="I335" t="s">
        <v>2108</v>
      </c>
    </row>
    <row r="336" spans="8:10" x14ac:dyDescent="0.25">
      <c r="H336" t="s">
        <v>2109</v>
      </c>
      <c r="I336" t="s">
        <v>2110</v>
      </c>
    </row>
    <row r="337" spans="8:9" x14ac:dyDescent="0.25">
      <c r="H337" t="s">
        <v>2111</v>
      </c>
      <c r="I337" t="s">
        <v>2112</v>
      </c>
    </row>
    <row r="338" spans="8:9" x14ac:dyDescent="0.25">
      <c r="H338" t="s">
        <v>653</v>
      </c>
      <c r="I338" t="s">
        <v>2113</v>
      </c>
    </row>
    <row r="339" spans="8:9" x14ac:dyDescent="0.25">
      <c r="H339" t="s">
        <v>2114</v>
      </c>
      <c r="I339" t="s">
        <v>2115</v>
      </c>
    </row>
    <row r="340" spans="8:9" x14ac:dyDescent="0.25">
      <c r="H340" t="s">
        <v>2116</v>
      </c>
      <c r="I340" t="s">
        <v>2117</v>
      </c>
    </row>
    <row r="341" spans="8:9" x14ac:dyDescent="0.25">
      <c r="H341" t="s">
        <v>2118</v>
      </c>
      <c r="I341" t="s">
        <v>2119</v>
      </c>
    </row>
    <row r="342" spans="8:9" x14ac:dyDescent="0.25">
      <c r="H342" t="s">
        <v>659</v>
      </c>
      <c r="I342" t="s">
        <v>2120</v>
      </c>
    </row>
    <row r="343" spans="8:9" x14ac:dyDescent="0.25">
      <c r="H343" t="s">
        <v>2121</v>
      </c>
      <c r="I343" t="s">
        <v>2122</v>
      </c>
    </row>
    <row r="344" spans="8:9" x14ac:dyDescent="0.25">
      <c r="H344" t="s">
        <v>2123</v>
      </c>
      <c r="I344" t="s">
        <v>2124</v>
      </c>
    </row>
    <row r="345" spans="8:9" x14ac:dyDescent="0.25">
      <c r="H345" t="s">
        <v>2125</v>
      </c>
      <c r="I345" t="s">
        <v>2126</v>
      </c>
    </row>
    <row r="346" spans="8:9" x14ac:dyDescent="0.25">
      <c r="H346" t="s">
        <v>2127</v>
      </c>
      <c r="I346" t="s">
        <v>2128</v>
      </c>
    </row>
    <row r="347" spans="8:9" x14ac:dyDescent="0.25">
      <c r="H347" t="s">
        <v>2129</v>
      </c>
      <c r="I347" t="s">
        <v>2130</v>
      </c>
    </row>
    <row r="348" spans="8:9" x14ac:dyDescent="0.25">
      <c r="H348" t="s">
        <v>2131</v>
      </c>
      <c r="I348" t="s">
        <v>2132</v>
      </c>
    </row>
    <row r="349" spans="8:9" x14ac:dyDescent="0.25">
      <c r="H349" t="s">
        <v>2133</v>
      </c>
      <c r="I349" t="s">
        <v>2134</v>
      </c>
    </row>
    <row r="350" spans="8:9" x14ac:dyDescent="0.25">
      <c r="H350" t="s">
        <v>2135</v>
      </c>
      <c r="I350" t="s">
        <v>2136</v>
      </c>
    </row>
    <row r="351" spans="8:9" x14ac:dyDescent="0.25">
      <c r="H351" t="s">
        <v>2137</v>
      </c>
      <c r="I351" t="s">
        <v>2138</v>
      </c>
    </row>
    <row r="352" spans="8:9" x14ac:dyDescent="0.25">
      <c r="H352" t="s">
        <v>2139</v>
      </c>
      <c r="I352" t="s">
        <v>2140</v>
      </c>
    </row>
    <row r="353" spans="8:9" x14ac:dyDescent="0.25">
      <c r="H353" t="s">
        <v>2141</v>
      </c>
      <c r="I353" t="s">
        <v>2142</v>
      </c>
    </row>
    <row r="354" spans="8:9" x14ac:dyDescent="0.25">
      <c r="H354" t="s">
        <v>2143</v>
      </c>
      <c r="I354" t="s">
        <v>2144</v>
      </c>
    </row>
    <row r="355" spans="8:9" x14ac:dyDescent="0.25">
      <c r="H355" t="s">
        <v>2145</v>
      </c>
      <c r="I355" t="s">
        <v>2146</v>
      </c>
    </row>
    <row r="356" spans="8:9" x14ac:dyDescent="0.25">
      <c r="H356" t="s">
        <v>2147</v>
      </c>
      <c r="I356" t="s">
        <v>2148</v>
      </c>
    </row>
    <row r="357" spans="8:9" x14ac:dyDescent="0.25">
      <c r="H357" t="s">
        <v>2149</v>
      </c>
      <c r="I357" t="s">
        <v>2150</v>
      </c>
    </row>
    <row r="358" spans="8:9" x14ac:dyDescent="0.25">
      <c r="H358" t="s">
        <v>2151</v>
      </c>
      <c r="I358" t="s">
        <v>2152</v>
      </c>
    </row>
    <row r="359" spans="8:9" x14ac:dyDescent="0.25">
      <c r="H359" t="s">
        <v>2153</v>
      </c>
      <c r="I359" t="s">
        <v>2154</v>
      </c>
    </row>
    <row r="360" spans="8:9" x14ac:dyDescent="0.25">
      <c r="H360" t="s">
        <v>2155</v>
      </c>
      <c r="I360" t="s">
        <v>2156</v>
      </c>
    </row>
    <row r="361" spans="8:9" x14ac:dyDescent="0.25">
      <c r="H361" t="s">
        <v>2157</v>
      </c>
      <c r="I361" t="s">
        <v>2158</v>
      </c>
    </row>
    <row r="362" spans="8:9" x14ac:dyDescent="0.25">
      <c r="H362" t="s">
        <v>2159</v>
      </c>
      <c r="I362" t="s">
        <v>2160</v>
      </c>
    </row>
    <row r="363" spans="8:9" x14ac:dyDescent="0.25">
      <c r="H363" t="s">
        <v>2161</v>
      </c>
      <c r="I363" t="s">
        <v>2162</v>
      </c>
    </row>
    <row r="364" spans="8:9" x14ac:dyDescent="0.25">
      <c r="H364" t="s">
        <v>2163</v>
      </c>
      <c r="I364" t="s">
        <v>2164</v>
      </c>
    </row>
    <row r="365" spans="8:9" x14ac:dyDescent="0.25">
      <c r="H365" t="s">
        <v>2165</v>
      </c>
      <c r="I365" t="s">
        <v>2166</v>
      </c>
    </row>
    <row r="366" spans="8:9" x14ac:dyDescent="0.25">
      <c r="H366" t="s">
        <v>2167</v>
      </c>
      <c r="I366" t="s">
        <v>2168</v>
      </c>
    </row>
    <row r="367" spans="8:9" x14ac:dyDescent="0.25">
      <c r="H367" t="s">
        <v>2169</v>
      </c>
      <c r="I367" t="s">
        <v>2170</v>
      </c>
    </row>
    <row r="368" spans="8:9" x14ac:dyDescent="0.25">
      <c r="H368" t="s">
        <v>2171</v>
      </c>
      <c r="I368" t="s">
        <v>2172</v>
      </c>
    </row>
    <row r="369" spans="8:9" x14ac:dyDescent="0.25">
      <c r="H369" t="s">
        <v>2173</v>
      </c>
      <c r="I369" t="s">
        <v>2174</v>
      </c>
    </row>
    <row r="370" spans="8:9" x14ac:dyDescent="0.25">
      <c r="H370" t="s">
        <v>2175</v>
      </c>
      <c r="I370" t="s">
        <v>2176</v>
      </c>
    </row>
    <row r="371" spans="8:9" x14ac:dyDescent="0.25">
      <c r="H371" t="s">
        <v>2177</v>
      </c>
      <c r="I371" t="s">
        <v>2178</v>
      </c>
    </row>
    <row r="372" spans="8:9" x14ac:dyDescent="0.25">
      <c r="H372" t="s">
        <v>2179</v>
      </c>
      <c r="I372" t="s">
        <v>2180</v>
      </c>
    </row>
    <row r="373" spans="8:9" x14ac:dyDescent="0.25">
      <c r="H373" t="s">
        <v>2181</v>
      </c>
      <c r="I373" t="s">
        <v>2182</v>
      </c>
    </row>
    <row r="374" spans="8:9" x14ac:dyDescent="0.25">
      <c r="H374" t="s">
        <v>2183</v>
      </c>
      <c r="I374" t="s">
        <v>2184</v>
      </c>
    </row>
    <row r="375" spans="8:9" x14ac:dyDescent="0.25">
      <c r="H375" t="s">
        <v>2185</v>
      </c>
      <c r="I375" t="s">
        <v>2186</v>
      </c>
    </row>
    <row r="376" spans="8:9" x14ac:dyDescent="0.25">
      <c r="H376" t="s">
        <v>2187</v>
      </c>
      <c r="I376" t="s">
        <v>2188</v>
      </c>
    </row>
    <row r="377" spans="8:9" x14ac:dyDescent="0.25">
      <c r="H377" t="s">
        <v>2189</v>
      </c>
      <c r="I377" t="s">
        <v>2190</v>
      </c>
    </row>
    <row r="378" spans="8:9" x14ac:dyDescent="0.25">
      <c r="H378" t="s">
        <v>2191</v>
      </c>
      <c r="I378" t="s">
        <v>2192</v>
      </c>
    </row>
    <row r="379" spans="8:9" x14ac:dyDescent="0.25">
      <c r="H379" t="s">
        <v>2193</v>
      </c>
      <c r="I379" t="s">
        <v>2194</v>
      </c>
    </row>
    <row r="380" spans="8:9" x14ac:dyDescent="0.25">
      <c r="H380" t="s">
        <v>2195</v>
      </c>
      <c r="I380" t="s">
        <v>2196</v>
      </c>
    </row>
    <row r="381" spans="8:9" x14ac:dyDescent="0.25">
      <c r="H381" t="s">
        <v>2197</v>
      </c>
      <c r="I381" t="s">
        <v>2198</v>
      </c>
    </row>
    <row r="382" spans="8:9" x14ac:dyDescent="0.25">
      <c r="H382" t="s">
        <v>2199</v>
      </c>
      <c r="I382" t="s">
        <v>2200</v>
      </c>
    </row>
    <row r="383" spans="8:9" x14ac:dyDescent="0.25">
      <c r="H383" t="s">
        <v>2201</v>
      </c>
      <c r="I383" t="s">
        <v>2202</v>
      </c>
    </row>
    <row r="384" spans="8:9" x14ac:dyDescent="0.25">
      <c r="H384" t="s">
        <v>2203</v>
      </c>
      <c r="I384" t="s">
        <v>2204</v>
      </c>
    </row>
    <row r="385" spans="8:9" x14ac:dyDescent="0.25">
      <c r="H385" t="s">
        <v>2205</v>
      </c>
      <c r="I385" t="s">
        <v>2206</v>
      </c>
    </row>
    <row r="386" spans="8:9" x14ac:dyDescent="0.25">
      <c r="H386" t="s">
        <v>2207</v>
      </c>
      <c r="I386" t="s">
        <v>2208</v>
      </c>
    </row>
    <row r="387" spans="8:9" x14ac:dyDescent="0.25">
      <c r="H387" t="s">
        <v>2209</v>
      </c>
      <c r="I387" t="s">
        <v>2210</v>
      </c>
    </row>
    <row r="388" spans="8:9" x14ac:dyDescent="0.25">
      <c r="H388" t="s">
        <v>2211</v>
      </c>
      <c r="I388" t="s">
        <v>2212</v>
      </c>
    </row>
    <row r="389" spans="8:9" x14ac:dyDescent="0.25">
      <c r="H389" t="s">
        <v>2213</v>
      </c>
      <c r="I389" t="s">
        <v>2214</v>
      </c>
    </row>
    <row r="390" spans="8:9" x14ac:dyDescent="0.25">
      <c r="H390" t="s">
        <v>2215</v>
      </c>
      <c r="I390" t="s">
        <v>2216</v>
      </c>
    </row>
    <row r="391" spans="8:9" x14ac:dyDescent="0.25">
      <c r="H391" t="s">
        <v>2217</v>
      </c>
      <c r="I391" t="s">
        <v>2218</v>
      </c>
    </row>
    <row r="392" spans="8:9" x14ac:dyDescent="0.25">
      <c r="H392" t="s">
        <v>2219</v>
      </c>
      <c r="I392" t="s">
        <v>2220</v>
      </c>
    </row>
    <row r="393" spans="8:9" x14ac:dyDescent="0.25">
      <c r="H393" t="s">
        <v>2221</v>
      </c>
      <c r="I393" t="s">
        <v>2222</v>
      </c>
    </row>
    <row r="394" spans="8:9" x14ac:dyDescent="0.25">
      <c r="H394" t="s">
        <v>2223</v>
      </c>
      <c r="I394" t="s">
        <v>2224</v>
      </c>
    </row>
    <row r="395" spans="8:9" x14ac:dyDescent="0.25">
      <c r="H395" t="s">
        <v>2225</v>
      </c>
      <c r="I395" t="s">
        <v>2226</v>
      </c>
    </row>
    <row r="396" spans="8:9" x14ac:dyDescent="0.25">
      <c r="H396" t="s">
        <v>2227</v>
      </c>
      <c r="I396" t="s">
        <v>2228</v>
      </c>
    </row>
    <row r="397" spans="8:9" x14ac:dyDescent="0.25">
      <c r="H397" t="s">
        <v>2229</v>
      </c>
      <c r="I397" t="s">
        <v>2230</v>
      </c>
    </row>
    <row r="398" spans="8:9" x14ac:dyDescent="0.25">
      <c r="H398" t="s">
        <v>2231</v>
      </c>
      <c r="I398" t="s">
        <v>2232</v>
      </c>
    </row>
    <row r="399" spans="8:9" x14ac:dyDescent="0.25">
      <c r="H399" t="s">
        <v>2233</v>
      </c>
      <c r="I399" t="s">
        <v>2234</v>
      </c>
    </row>
    <row r="400" spans="8:9" x14ac:dyDescent="0.25">
      <c r="H400" t="s">
        <v>2235</v>
      </c>
      <c r="I400" t="s">
        <v>2236</v>
      </c>
    </row>
    <row r="401" spans="8:9" x14ac:dyDescent="0.25">
      <c r="H401" t="s">
        <v>2237</v>
      </c>
      <c r="I401" t="s">
        <v>2238</v>
      </c>
    </row>
    <row r="402" spans="8:9" x14ac:dyDescent="0.25">
      <c r="H402" t="s">
        <v>2239</v>
      </c>
      <c r="I402" t="s">
        <v>2240</v>
      </c>
    </row>
    <row r="403" spans="8:9" x14ac:dyDescent="0.25">
      <c r="H403" t="s">
        <v>2241</v>
      </c>
      <c r="I403" t="s">
        <v>2242</v>
      </c>
    </row>
    <row r="404" spans="8:9" x14ac:dyDescent="0.25">
      <c r="H404" t="s">
        <v>2243</v>
      </c>
      <c r="I404" t="s">
        <v>2244</v>
      </c>
    </row>
    <row r="405" spans="8:9" x14ac:dyDescent="0.25">
      <c r="H405" t="s">
        <v>2245</v>
      </c>
      <c r="I405" t="s">
        <v>2246</v>
      </c>
    </row>
    <row r="406" spans="8:9" x14ac:dyDescent="0.25">
      <c r="H406" t="s">
        <v>2247</v>
      </c>
      <c r="I406" t="s">
        <v>2248</v>
      </c>
    </row>
    <row r="407" spans="8:9" x14ac:dyDescent="0.25">
      <c r="H407" t="s">
        <v>2249</v>
      </c>
      <c r="I407" t="s">
        <v>2250</v>
      </c>
    </row>
    <row r="408" spans="8:9" x14ac:dyDescent="0.25">
      <c r="H408" t="s">
        <v>2251</v>
      </c>
      <c r="I408" t="s">
        <v>2252</v>
      </c>
    </row>
    <row r="409" spans="8:9" x14ac:dyDescent="0.25">
      <c r="H409" t="s">
        <v>2253</v>
      </c>
      <c r="I409" t="s">
        <v>2254</v>
      </c>
    </row>
    <row r="410" spans="8:9" x14ac:dyDescent="0.25">
      <c r="H410" t="s">
        <v>672</v>
      </c>
      <c r="I410" t="s">
        <v>2255</v>
      </c>
    </row>
    <row r="411" spans="8:9" x14ac:dyDescent="0.25">
      <c r="H411" t="s">
        <v>2256</v>
      </c>
      <c r="I411" t="s">
        <v>2257</v>
      </c>
    </row>
    <row r="412" spans="8:9" x14ac:dyDescent="0.25">
      <c r="H412" t="s">
        <v>2258</v>
      </c>
      <c r="I412" t="s">
        <v>2259</v>
      </c>
    </row>
    <row r="413" spans="8:9" x14ac:dyDescent="0.25">
      <c r="H413" t="s">
        <v>2260</v>
      </c>
      <c r="I413" t="s">
        <v>2261</v>
      </c>
    </row>
    <row r="414" spans="8:9" x14ac:dyDescent="0.25">
      <c r="H414" t="s">
        <v>2262</v>
      </c>
      <c r="I414" t="s">
        <v>2263</v>
      </c>
    </row>
    <row r="415" spans="8:9" x14ac:dyDescent="0.25">
      <c r="H415" t="s">
        <v>2264</v>
      </c>
      <c r="I415" t="s">
        <v>2265</v>
      </c>
    </row>
    <row r="416" spans="8:9" x14ac:dyDescent="0.25">
      <c r="H416" t="s">
        <v>2266</v>
      </c>
      <c r="I416" t="s">
        <v>2267</v>
      </c>
    </row>
    <row r="417" spans="8:9" x14ac:dyDescent="0.25">
      <c r="H417" t="s">
        <v>2268</v>
      </c>
      <c r="I417" t="s">
        <v>2269</v>
      </c>
    </row>
    <row r="418" spans="8:9" x14ac:dyDescent="0.25">
      <c r="H418" t="s">
        <v>2270</v>
      </c>
      <c r="I418" t="s">
        <v>2271</v>
      </c>
    </row>
    <row r="419" spans="8:9" x14ac:dyDescent="0.25">
      <c r="H419" t="s">
        <v>2272</v>
      </c>
      <c r="I419" t="s">
        <v>2273</v>
      </c>
    </row>
    <row r="420" spans="8:9" x14ac:dyDescent="0.25">
      <c r="H420" t="s">
        <v>2274</v>
      </c>
      <c r="I420" t="s">
        <v>2275</v>
      </c>
    </row>
    <row r="421" spans="8:9" x14ac:dyDescent="0.25">
      <c r="H421" t="s">
        <v>2276</v>
      </c>
      <c r="I421" t="s">
        <v>2277</v>
      </c>
    </row>
    <row r="422" spans="8:9" x14ac:dyDescent="0.25">
      <c r="H422" t="s">
        <v>2278</v>
      </c>
      <c r="I422" t="s">
        <v>2279</v>
      </c>
    </row>
    <row r="423" spans="8:9" x14ac:dyDescent="0.25">
      <c r="H423" t="s">
        <v>2280</v>
      </c>
      <c r="I423" t="s">
        <v>2281</v>
      </c>
    </row>
    <row r="424" spans="8:9" x14ac:dyDescent="0.25">
      <c r="H424" t="s">
        <v>2282</v>
      </c>
      <c r="I424" t="s">
        <v>2283</v>
      </c>
    </row>
    <row r="425" spans="8:9" x14ac:dyDescent="0.25">
      <c r="H425" t="s">
        <v>2284</v>
      </c>
      <c r="I425" t="s">
        <v>2285</v>
      </c>
    </row>
    <row r="426" spans="8:9" x14ac:dyDescent="0.25">
      <c r="H426" t="s">
        <v>2286</v>
      </c>
      <c r="I426" t="s">
        <v>2287</v>
      </c>
    </row>
    <row r="427" spans="8:9" x14ac:dyDescent="0.25">
      <c r="H427" t="s">
        <v>2288</v>
      </c>
      <c r="I427" t="s">
        <v>2289</v>
      </c>
    </row>
    <row r="428" spans="8:9" x14ac:dyDescent="0.25">
      <c r="H428" t="s">
        <v>2290</v>
      </c>
      <c r="I428" t="s">
        <v>2291</v>
      </c>
    </row>
    <row r="429" spans="8:9" x14ac:dyDescent="0.25">
      <c r="H429" t="s">
        <v>2292</v>
      </c>
      <c r="I429" t="s">
        <v>2293</v>
      </c>
    </row>
    <row r="430" spans="8:9" x14ac:dyDescent="0.25">
      <c r="H430" t="s">
        <v>2294</v>
      </c>
      <c r="I430" t="s">
        <v>2295</v>
      </c>
    </row>
    <row r="431" spans="8:9" x14ac:dyDescent="0.25">
      <c r="H431" t="s">
        <v>241</v>
      </c>
      <c r="I431" t="s">
        <v>2296</v>
      </c>
    </row>
    <row r="432" spans="8:9" x14ac:dyDescent="0.25">
      <c r="H432" t="s">
        <v>2297</v>
      </c>
      <c r="I432" t="s">
        <v>2298</v>
      </c>
    </row>
    <row r="433" spans="8:9" x14ac:dyDescent="0.25">
      <c r="H433" t="s">
        <v>2299</v>
      </c>
      <c r="I433" t="s">
        <v>2300</v>
      </c>
    </row>
    <row r="434" spans="8:9" x14ac:dyDescent="0.25">
      <c r="H434" t="s">
        <v>258</v>
      </c>
      <c r="I434" t="s">
        <v>2301</v>
      </c>
    </row>
    <row r="435" spans="8:9" x14ac:dyDescent="0.25">
      <c r="H435" t="s">
        <v>240</v>
      </c>
      <c r="I435" t="s">
        <v>2302</v>
      </c>
    </row>
    <row r="436" spans="8:9" x14ac:dyDescent="0.25">
      <c r="H436" t="s">
        <v>944</v>
      </c>
      <c r="I436" t="s">
        <v>2303</v>
      </c>
    </row>
    <row r="437" spans="8:9" x14ac:dyDescent="0.25">
      <c r="H437" t="s">
        <v>2304</v>
      </c>
      <c r="I437" t="s">
        <v>2305</v>
      </c>
    </row>
    <row r="438" spans="8:9" x14ac:dyDescent="0.25">
      <c r="H438" t="s">
        <v>177</v>
      </c>
      <c r="I438" t="s">
        <v>2306</v>
      </c>
    </row>
    <row r="439" spans="8:9" x14ac:dyDescent="0.25">
      <c r="H439" t="s">
        <v>2307</v>
      </c>
      <c r="I439" t="s">
        <v>2308</v>
      </c>
    </row>
    <row r="440" spans="8:9" x14ac:dyDescent="0.25">
      <c r="H440" t="s">
        <v>2309</v>
      </c>
      <c r="I440" t="s">
        <v>2310</v>
      </c>
    </row>
    <row r="441" spans="8:9" x14ac:dyDescent="0.25">
      <c r="H441" t="s">
        <v>2311</v>
      </c>
      <c r="I441" t="s">
        <v>2312</v>
      </c>
    </row>
    <row r="442" spans="8:9" x14ac:dyDescent="0.25">
      <c r="H442" t="s">
        <v>2313</v>
      </c>
      <c r="I442" t="s">
        <v>2314</v>
      </c>
    </row>
    <row r="443" spans="8:9" x14ac:dyDescent="0.25">
      <c r="H443" t="s">
        <v>2315</v>
      </c>
      <c r="I443" t="s">
        <v>2316</v>
      </c>
    </row>
    <row r="444" spans="8:9" x14ac:dyDescent="0.25">
      <c r="H444" t="s">
        <v>2317</v>
      </c>
      <c r="I444" t="s">
        <v>2318</v>
      </c>
    </row>
    <row r="445" spans="8:9" x14ac:dyDescent="0.25">
      <c r="H445" t="s">
        <v>2319</v>
      </c>
      <c r="I445" t="s">
        <v>2320</v>
      </c>
    </row>
    <row r="446" spans="8:9" x14ac:dyDescent="0.25">
      <c r="H446" t="s">
        <v>2321</v>
      </c>
      <c r="I446" t="s">
        <v>2322</v>
      </c>
    </row>
    <row r="447" spans="8:9" x14ac:dyDescent="0.25">
      <c r="H447" t="s">
        <v>945</v>
      </c>
      <c r="I447" t="s">
        <v>2323</v>
      </c>
    </row>
    <row r="448" spans="8:9" x14ac:dyDescent="0.25">
      <c r="H448" t="s">
        <v>10</v>
      </c>
      <c r="I448" t="s">
        <v>2324</v>
      </c>
    </row>
    <row r="449" spans="8:9" x14ac:dyDescent="0.25">
      <c r="H449" t="s">
        <v>392</v>
      </c>
      <c r="I449" t="s">
        <v>2325</v>
      </c>
    </row>
    <row r="450" spans="8:9" x14ac:dyDescent="0.25">
      <c r="H450" t="s">
        <v>8</v>
      </c>
      <c r="I450" t="s">
        <v>2326</v>
      </c>
    </row>
    <row r="451" spans="8:9" x14ac:dyDescent="0.25">
      <c r="H451" t="s">
        <v>2327</v>
      </c>
      <c r="I451" t="s">
        <v>2328</v>
      </c>
    </row>
    <row r="452" spans="8:9" x14ac:dyDescent="0.25">
      <c r="H452" t="s">
        <v>2329</v>
      </c>
      <c r="I452" t="s">
        <v>2330</v>
      </c>
    </row>
    <row r="453" spans="8:9" x14ac:dyDescent="0.25">
      <c r="H453" t="s">
        <v>2331</v>
      </c>
      <c r="I453" t="s">
        <v>2332</v>
      </c>
    </row>
    <row r="454" spans="8:9" x14ac:dyDescent="0.25">
      <c r="H454" t="s">
        <v>261</v>
      </c>
      <c r="I454" t="s">
        <v>2333</v>
      </c>
    </row>
    <row r="455" spans="8:9" x14ac:dyDescent="0.25">
      <c r="H455" t="s">
        <v>2334</v>
      </c>
      <c r="I455" t="s">
        <v>2335</v>
      </c>
    </row>
    <row r="456" spans="8:9" x14ac:dyDescent="0.25">
      <c r="H456" t="s">
        <v>982</v>
      </c>
      <c r="I456" t="s">
        <v>2336</v>
      </c>
    </row>
    <row r="457" spans="8:9" x14ac:dyDescent="0.25">
      <c r="H457" t="s">
        <v>2337</v>
      </c>
      <c r="I457" t="s">
        <v>2338</v>
      </c>
    </row>
    <row r="458" spans="8:9" x14ac:dyDescent="0.25">
      <c r="H458" t="s">
        <v>2339</v>
      </c>
      <c r="I458" t="s">
        <v>2340</v>
      </c>
    </row>
    <row r="459" spans="8:9" x14ac:dyDescent="0.25">
      <c r="H459" t="s">
        <v>2341</v>
      </c>
      <c r="I459" t="s">
        <v>2342</v>
      </c>
    </row>
    <row r="460" spans="8:9" x14ac:dyDescent="0.25">
      <c r="H460" t="s">
        <v>2343</v>
      </c>
      <c r="I460" t="s">
        <v>2344</v>
      </c>
    </row>
    <row r="461" spans="8:9" x14ac:dyDescent="0.25">
      <c r="H461" t="s">
        <v>2345</v>
      </c>
      <c r="I461" t="s">
        <v>2346</v>
      </c>
    </row>
    <row r="462" spans="8:9" x14ac:dyDescent="0.25">
      <c r="H462" t="s">
        <v>2347</v>
      </c>
      <c r="I462" t="s">
        <v>2344</v>
      </c>
    </row>
    <row r="463" spans="8:9" x14ac:dyDescent="0.25">
      <c r="H463" t="s">
        <v>225</v>
      </c>
      <c r="I463" t="s">
        <v>2348</v>
      </c>
    </row>
    <row r="464" spans="8:9" x14ac:dyDescent="0.25">
      <c r="H464" t="s">
        <v>2349</v>
      </c>
      <c r="I464" t="s">
        <v>2350</v>
      </c>
    </row>
    <row r="465" spans="8:9" x14ac:dyDescent="0.25">
      <c r="H465" t="s">
        <v>2351</v>
      </c>
      <c r="I465" t="s">
        <v>2352</v>
      </c>
    </row>
    <row r="466" spans="8:9" x14ac:dyDescent="0.25">
      <c r="H466" t="s">
        <v>2353</v>
      </c>
      <c r="I466" t="s">
        <v>2354</v>
      </c>
    </row>
    <row r="467" spans="8:9" x14ac:dyDescent="0.25">
      <c r="H467" t="s">
        <v>2355</v>
      </c>
      <c r="I467" t="s">
        <v>2356</v>
      </c>
    </row>
    <row r="468" spans="8:9" x14ac:dyDescent="0.25">
      <c r="H468" t="s">
        <v>2357</v>
      </c>
      <c r="I468" t="s">
        <v>2358</v>
      </c>
    </row>
    <row r="469" spans="8:9" x14ac:dyDescent="0.25">
      <c r="H469" t="s">
        <v>2359</v>
      </c>
      <c r="I469" t="s">
        <v>2360</v>
      </c>
    </row>
    <row r="470" spans="8:9" x14ac:dyDescent="0.25">
      <c r="H470" t="s">
        <v>2361</v>
      </c>
      <c r="I470" t="s">
        <v>2362</v>
      </c>
    </row>
    <row r="471" spans="8:9" x14ac:dyDescent="0.25">
      <c r="H471" t="s">
        <v>2363</v>
      </c>
      <c r="I471" t="s">
        <v>2364</v>
      </c>
    </row>
    <row r="472" spans="8:9" x14ac:dyDescent="0.25">
      <c r="H472" t="s">
        <v>2365</v>
      </c>
      <c r="I472" t="s">
        <v>2366</v>
      </c>
    </row>
    <row r="473" spans="8:9" x14ac:dyDescent="0.25">
      <c r="H473" t="s">
        <v>2367</v>
      </c>
      <c r="I473" t="s">
        <v>2366</v>
      </c>
    </row>
    <row r="474" spans="8:9" x14ac:dyDescent="0.25">
      <c r="H474" t="s">
        <v>1049</v>
      </c>
      <c r="I474" t="s">
        <v>2368</v>
      </c>
    </row>
    <row r="475" spans="8:9" x14ac:dyDescent="0.25">
      <c r="H475" t="s">
        <v>2369</v>
      </c>
      <c r="I475" t="s">
        <v>2370</v>
      </c>
    </row>
    <row r="476" spans="8:9" x14ac:dyDescent="0.25">
      <c r="H476" t="s">
        <v>2371</v>
      </c>
      <c r="I476" t="s">
        <v>2372</v>
      </c>
    </row>
    <row r="477" spans="8:9" x14ac:dyDescent="0.25">
      <c r="H477" t="s">
        <v>2373</v>
      </c>
      <c r="I477" t="s">
        <v>2372</v>
      </c>
    </row>
    <row r="478" spans="8:9" x14ac:dyDescent="0.25">
      <c r="H478" t="s">
        <v>2374</v>
      </c>
      <c r="I478" t="s">
        <v>2375</v>
      </c>
    </row>
    <row r="479" spans="8:9" x14ac:dyDescent="0.25">
      <c r="H479" t="s">
        <v>2376</v>
      </c>
      <c r="I479" t="s">
        <v>2377</v>
      </c>
    </row>
    <row r="480" spans="8:9" x14ac:dyDescent="0.25">
      <c r="H480" t="s">
        <v>2378</v>
      </c>
      <c r="I480" t="s">
        <v>2379</v>
      </c>
    </row>
    <row r="481" spans="8:9" x14ac:dyDescent="0.25">
      <c r="H481" t="s">
        <v>2380</v>
      </c>
      <c r="I481" t="s">
        <v>2381</v>
      </c>
    </row>
    <row r="482" spans="8:9" x14ac:dyDescent="0.25">
      <c r="H482" t="s">
        <v>2382</v>
      </c>
      <c r="I482" t="s">
        <v>2383</v>
      </c>
    </row>
    <row r="483" spans="8:9" x14ac:dyDescent="0.25">
      <c r="H483" t="s">
        <v>2384</v>
      </c>
      <c r="I483" t="s">
        <v>2385</v>
      </c>
    </row>
    <row r="484" spans="8:9" x14ac:dyDescent="0.25">
      <c r="H484" t="s">
        <v>2386</v>
      </c>
      <c r="I484" t="s">
        <v>2387</v>
      </c>
    </row>
    <row r="485" spans="8:9" x14ac:dyDescent="0.25">
      <c r="H485" t="s">
        <v>2388</v>
      </c>
      <c r="I485" t="s">
        <v>2389</v>
      </c>
    </row>
    <row r="486" spans="8:9" x14ac:dyDescent="0.25">
      <c r="H486" t="s">
        <v>2390</v>
      </c>
      <c r="I486" t="s">
        <v>2391</v>
      </c>
    </row>
    <row r="487" spans="8:9" x14ac:dyDescent="0.25">
      <c r="H487" t="s">
        <v>2392</v>
      </c>
      <c r="I487" t="s">
        <v>2393</v>
      </c>
    </row>
    <row r="488" spans="8:9" x14ac:dyDescent="0.25">
      <c r="H488" t="s">
        <v>2394</v>
      </c>
      <c r="I488" t="s">
        <v>2395</v>
      </c>
    </row>
    <row r="489" spans="8:9" x14ac:dyDescent="0.25">
      <c r="H489" t="s">
        <v>2396</v>
      </c>
      <c r="I489" t="s">
        <v>2283</v>
      </c>
    </row>
    <row r="490" spans="8:9" x14ac:dyDescent="0.25">
      <c r="H490" t="s">
        <v>2397</v>
      </c>
      <c r="I490" t="s">
        <v>2398</v>
      </c>
    </row>
    <row r="491" spans="8:9" x14ac:dyDescent="0.25">
      <c r="H491" t="s">
        <v>2399</v>
      </c>
      <c r="I491" t="s">
        <v>2285</v>
      </c>
    </row>
    <row r="492" spans="8:9" x14ac:dyDescent="0.25">
      <c r="H492" t="s">
        <v>2400</v>
      </c>
      <c r="I492" t="s">
        <v>2287</v>
      </c>
    </row>
    <row r="493" spans="8:9" x14ac:dyDescent="0.25">
      <c r="H493" t="s">
        <v>2401</v>
      </c>
      <c r="I493" t="s">
        <v>2402</v>
      </c>
    </row>
    <row r="494" spans="8:9" x14ac:dyDescent="0.25">
      <c r="H494" t="s">
        <v>2403</v>
      </c>
      <c r="I494" t="s">
        <v>2293</v>
      </c>
    </row>
    <row r="495" spans="8:9" x14ac:dyDescent="0.25">
      <c r="H495" t="s">
        <v>2404</v>
      </c>
      <c r="I495" t="s">
        <v>2291</v>
      </c>
    </row>
    <row r="496" spans="8:9" x14ac:dyDescent="0.25">
      <c r="H496" t="s">
        <v>2405</v>
      </c>
      <c r="I496" t="s">
        <v>2306</v>
      </c>
    </row>
    <row r="497" spans="8:9" x14ac:dyDescent="0.25">
      <c r="H497" t="s">
        <v>2406</v>
      </c>
      <c r="I497" t="s">
        <v>2310</v>
      </c>
    </row>
    <row r="498" spans="8:9" x14ac:dyDescent="0.25">
      <c r="H498" t="s">
        <v>2407</v>
      </c>
      <c r="I498" t="s">
        <v>2408</v>
      </c>
    </row>
    <row r="499" spans="8:9" x14ac:dyDescent="0.25">
      <c r="H499" t="s">
        <v>2409</v>
      </c>
      <c r="I499" t="s">
        <v>2408</v>
      </c>
    </row>
    <row r="500" spans="8:9" x14ac:dyDescent="0.25">
      <c r="H500" t="s">
        <v>2410</v>
      </c>
      <c r="I500" t="s">
        <v>2411</v>
      </c>
    </row>
    <row r="501" spans="8:9" x14ac:dyDescent="0.25">
      <c r="H501" t="s">
        <v>2412</v>
      </c>
      <c r="I501" t="s">
        <v>2413</v>
      </c>
    </row>
    <row r="502" spans="8:9" x14ac:dyDescent="0.25">
      <c r="H502" t="s">
        <v>2414</v>
      </c>
      <c r="I502" t="s">
        <v>2415</v>
      </c>
    </row>
    <row r="503" spans="8:9" x14ac:dyDescent="0.25">
      <c r="H503" t="s">
        <v>2416</v>
      </c>
      <c r="I503" t="s">
        <v>2417</v>
      </c>
    </row>
    <row r="504" spans="8:9" x14ac:dyDescent="0.25">
      <c r="H504" t="s">
        <v>2418</v>
      </c>
      <c r="I504" t="s">
        <v>2419</v>
      </c>
    </row>
    <row r="505" spans="8:9" x14ac:dyDescent="0.25">
      <c r="H505" t="s">
        <v>2420</v>
      </c>
      <c r="I505" t="s">
        <v>2421</v>
      </c>
    </row>
    <row r="506" spans="8:9" x14ac:dyDescent="0.25">
      <c r="H506" t="s">
        <v>2422</v>
      </c>
      <c r="I506" t="s">
        <v>2423</v>
      </c>
    </row>
    <row r="507" spans="8:9" x14ac:dyDescent="0.25">
      <c r="H507" t="s">
        <v>2424</v>
      </c>
      <c r="I507" t="s">
        <v>2425</v>
      </c>
    </row>
    <row r="508" spans="8:9" x14ac:dyDescent="0.25">
      <c r="H508" t="s">
        <v>2426</v>
      </c>
      <c r="I508" t="s">
        <v>2094</v>
      </c>
    </row>
    <row r="509" spans="8:9" x14ac:dyDescent="0.25">
      <c r="H509" t="s">
        <v>670</v>
      </c>
      <c r="I509" t="s">
        <v>2427</v>
      </c>
    </row>
    <row r="510" spans="8:9" x14ac:dyDescent="0.25">
      <c r="H510" t="s">
        <v>2428</v>
      </c>
      <c r="I510" t="s">
        <v>2098</v>
      </c>
    </row>
    <row r="511" spans="8:9" x14ac:dyDescent="0.25">
      <c r="H511" t="s">
        <v>2429</v>
      </c>
      <c r="I511" t="s">
        <v>2100</v>
      </c>
    </row>
    <row r="512" spans="8:9" x14ac:dyDescent="0.25">
      <c r="H512" t="s">
        <v>681</v>
      </c>
      <c r="I512" t="s">
        <v>2430</v>
      </c>
    </row>
    <row r="513" spans="8:9" x14ac:dyDescent="0.25">
      <c r="H513" t="s">
        <v>2431</v>
      </c>
      <c r="I513" t="s">
        <v>2104</v>
      </c>
    </row>
    <row r="514" spans="8:9" x14ac:dyDescent="0.25">
      <c r="H514" t="s">
        <v>1052</v>
      </c>
      <c r="I514" t="s">
        <v>2108</v>
      </c>
    </row>
    <row r="515" spans="8:9" x14ac:dyDescent="0.25">
      <c r="H515" t="s">
        <v>917</v>
      </c>
      <c r="I515" t="s">
        <v>2110</v>
      </c>
    </row>
    <row r="516" spans="8:9" x14ac:dyDescent="0.25">
      <c r="H516" t="s">
        <v>2432</v>
      </c>
      <c r="I516" t="s">
        <v>2112</v>
      </c>
    </row>
    <row r="517" spans="8:9" x14ac:dyDescent="0.25">
      <c r="H517" t="s">
        <v>2433</v>
      </c>
      <c r="I517" t="s">
        <v>2113</v>
      </c>
    </row>
    <row r="518" spans="8:9" x14ac:dyDescent="0.25">
      <c r="H518" t="s">
        <v>2434</v>
      </c>
      <c r="I518" t="s">
        <v>2435</v>
      </c>
    </row>
    <row r="519" spans="8:9" x14ac:dyDescent="0.25">
      <c r="H519" t="s">
        <v>682</v>
      </c>
      <c r="I519" t="s">
        <v>2436</v>
      </c>
    </row>
    <row r="520" spans="8:9" x14ac:dyDescent="0.25">
      <c r="H520" t="s">
        <v>2437</v>
      </c>
      <c r="I520" t="s">
        <v>2438</v>
      </c>
    </row>
    <row r="521" spans="8:9" x14ac:dyDescent="0.25">
      <c r="H521" t="s">
        <v>683</v>
      </c>
      <c r="I521" t="s">
        <v>2439</v>
      </c>
    </row>
    <row r="522" spans="8:9" x14ac:dyDescent="0.25">
      <c r="H522" t="s">
        <v>2440</v>
      </c>
      <c r="I522" t="s">
        <v>2441</v>
      </c>
    </row>
    <row r="523" spans="8:9" x14ac:dyDescent="0.25">
      <c r="H523" t="s">
        <v>2442</v>
      </c>
      <c r="I523" t="s">
        <v>2443</v>
      </c>
    </row>
    <row r="524" spans="8:9" x14ac:dyDescent="0.25">
      <c r="H524" t="s">
        <v>2444</v>
      </c>
      <c r="I524" t="s">
        <v>2445</v>
      </c>
    </row>
    <row r="525" spans="8:9" x14ac:dyDescent="0.25">
      <c r="H525" t="s">
        <v>2446</v>
      </c>
      <c r="I525" t="s">
        <v>2156</v>
      </c>
    </row>
    <row r="526" spans="8:9" x14ac:dyDescent="0.25">
      <c r="H526" t="s">
        <v>2447</v>
      </c>
      <c r="I526" t="s">
        <v>2448</v>
      </c>
    </row>
    <row r="527" spans="8:9" x14ac:dyDescent="0.25">
      <c r="H527" t="s">
        <v>679</v>
      </c>
      <c r="I527" t="s">
        <v>2449</v>
      </c>
    </row>
    <row r="528" spans="8:9" x14ac:dyDescent="0.25">
      <c r="H528" t="s">
        <v>2450</v>
      </c>
      <c r="I528" t="s">
        <v>2451</v>
      </c>
    </row>
    <row r="529" spans="8:10" x14ac:dyDescent="0.25">
      <c r="H529" t="s">
        <v>1203</v>
      </c>
      <c r="I529" t="s">
        <v>2452</v>
      </c>
    </row>
    <row r="530" spans="8:10" x14ac:dyDescent="0.25">
      <c r="H530" t="s">
        <v>2453</v>
      </c>
      <c r="I530" t="s">
        <v>2454</v>
      </c>
    </row>
    <row r="531" spans="8:10" x14ac:dyDescent="0.25">
      <c r="H531" t="s">
        <v>2455</v>
      </c>
      <c r="I531" t="s">
        <v>2456</v>
      </c>
    </row>
    <row r="532" spans="8:10" x14ac:dyDescent="0.25">
      <c r="H532" t="s">
        <v>2457</v>
      </c>
      <c r="I532" t="s">
        <v>2458</v>
      </c>
      <c r="J532" t="s">
        <v>2459</v>
      </c>
    </row>
    <row r="533" spans="8:10" x14ac:dyDescent="0.25">
      <c r="H533" t="s">
        <v>2460</v>
      </c>
      <c r="I533" t="s">
        <v>2461</v>
      </c>
    </row>
    <row r="534" spans="8:10" x14ac:dyDescent="0.25">
      <c r="H534" t="s">
        <v>2462</v>
      </c>
      <c r="I534" t="s">
        <v>2463</v>
      </c>
    </row>
    <row r="535" spans="8:10" x14ac:dyDescent="0.25">
      <c r="H535" t="s">
        <v>2464</v>
      </c>
      <c r="I535" t="s">
        <v>2465</v>
      </c>
    </row>
    <row r="536" spans="8:10" x14ac:dyDescent="0.25">
      <c r="H536" t="s">
        <v>2466</v>
      </c>
      <c r="I536" t="s">
        <v>2467</v>
      </c>
    </row>
    <row r="537" spans="8:10" x14ac:dyDescent="0.25">
      <c r="H537" t="s">
        <v>2468</v>
      </c>
      <c r="I537" t="s">
        <v>2469</v>
      </c>
    </row>
    <row r="538" spans="8:10" x14ac:dyDescent="0.25">
      <c r="H538" t="s">
        <v>2470</v>
      </c>
      <c r="I538" t="s">
        <v>2471</v>
      </c>
    </row>
    <row r="539" spans="8:10" x14ac:dyDescent="0.25">
      <c r="H539" t="s">
        <v>2472</v>
      </c>
      <c r="I539" t="s">
        <v>2473</v>
      </c>
    </row>
    <row r="540" spans="8:10" x14ac:dyDescent="0.25">
      <c r="H540" t="s">
        <v>2474</v>
      </c>
      <c r="I540" t="s">
        <v>2475</v>
      </c>
    </row>
    <row r="541" spans="8:10" x14ac:dyDescent="0.25">
      <c r="H541" t="s">
        <v>2476</v>
      </c>
      <c r="I541" t="s">
        <v>2477</v>
      </c>
    </row>
    <row r="542" spans="8:10" x14ac:dyDescent="0.25">
      <c r="H542" t="s">
        <v>2478</v>
      </c>
      <c r="I542" t="s">
        <v>2479</v>
      </c>
    </row>
    <row r="543" spans="8:10" x14ac:dyDescent="0.25">
      <c r="H543" t="s">
        <v>461</v>
      </c>
      <c r="I543" t="s">
        <v>2480</v>
      </c>
    </row>
    <row r="544" spans="8:10" x14ac:dyDescent="0.25">
      <c r="H544" t="s">
        <v>2481</v>
      </c>
      <c r="I544" t="s">
        <v>2482</v>
      </c>
    </row>
    <row r="545" spans="8:9" x14ac:dyDescent="0.25">
      <c r="H545" t="s">
        <v>2483</v>
      </c>
      <c r="I545" t="s">
        <v>2484</v>
      </c>
    </row>
    <row r="546" spans="8:9" x14ac:dyDescent="0.25">
      <c r="H546" t="s">
        <v>1051</v>
      </c>
      <c r="I546" t="s">
        <v>2485</v>
      </c>
    </row>
    <row r="547" spans="8:9" x14ac:dyDescent="0.25">
      <c r="H547" t="s">
        <v>2486</v>
      </c>
      <c r="I547" t="s">
        <v>2487</v>
      </c>
    </row>
    <row r="548" spans="8:9" x14ac:dyDescent="0.25">
      <c r="H548" t="s">
        <v>2488</v>
      </c>
      <c r="I548" t="s">
        <v>2489</v>
      </c>
    </row>
    <row r="549" spans="8:9" x14ac:dyDescent="0.25">
      <c r="H549" t="s">
        <v>2490</v>
      </c>
      <c r="I549" t="s">
        <v>2491</v>
      </c>
    </row>
    <row r="550" spans="8:9" x14ac:dyDescent="0.25">
      <c r="H550" t="s">
        <v>2492</v>
      </c>
      <c r="I550" t="s">
        <v>2493</v>
      </c>
    </row>
    <row r="551" spans="8:9" x14ac:dyDescent="0.25">
      <c r="H551" t="s">
        <v>2494</v>
      </c>
      <c r="I551" t="s">
        <v>2495</v>
      </c>
    </row>
    <row r="552" spans="8:9" x14ac:dyDescent="0.25">
      <c r="H552" t="s">
        <v>2496</v>
      </c>
      <c r="I552" t="s">
        <v>2497</v>
      </c>
    </row>
    <row r="553" spans="8:9" x14ac:dyDescent="0.25">
      <c r="H553" t="s">
        <v>2498</v>
      </c>
      <c r="I553" t="s">
        <v>2499</v>
      </c>
    </row>
    <row r="554" spans="8:9" x14ac:dyDescent="0.25">
      <c r="H554" t="s">
        <v>2500</v>
      </c>
      <c r="I554" t="s">
        <v>2501</v>
      </c>
    </row>
    <row r="555" spans="8:9" x14ac:dyDescent="0.25">
      <c r="H555" t="s">
        <v>2502</v>
      </c>
      <c r="I555" t="s">
        <v>2503</v>
      </c>
    </row>
    <row r="556" spans="8:9" x14ac:dyDescent="0.25">
      <c r="H556" t="s">
        <v>2504</v>
      </c>
      <c r="I556" t="s">
        <v>2505</v>
      </c>
    </row>
    <row r="557" spans="8:9" x14ac:dyDescent="0.25">
      <c r="H557" t="s">
        <v>2506</v>
      </c>
      <c r="I557" t="s">
        <v>2507</v>
      </c>
    </row>
    <row r="558" spans="8:9" x14ac:dyDescent="0.25">
      <c r="H558" t="s">
        <v>2508</v>
      </c>
      <c r="I558" t="s">
        <v>2509</v>
      </c>
    </row>
    <row r="559" spans="8:9" x14ac:dyDescent="0.25">
      <c r="H559" t="s">
        <v>2510</v>
      </c>
      <c r="I559" t="s">
        <v>2511</v>
      </c>
    </row>
    <row r="560" spans="8:9" x14ac:dyDescent="0.25">
      <c r="H560" t="s">
        <v>257</v>
      </c>
      <c r="I560" t="s">
        <v>2512</v>
      </c>
    </row>
    <row r="561" spans="8:9" x14ac:dyDescent="0.25">
      <c r="H561" t="s">
        <v>248</v>
      </c>
      <c r="I561" t="s">
        <v>2513</v>
      </c>
    </row>
    <row r="562" spans="8:9" x14ac:dyDescent="0.25">
      <c r="H562" t="s">
        <v>6</v>
      </c>
      <c r="I562" t="s">
        <v>2514</v>
      </c>
    </row>
    <row r="563" spans="8:9" x14ac:dyDescent="0.25">
      <c r="H563" t="s">
        <v>1181</v>
      </c>
      <c r="I563" t="s">
        <v>2515</v>
      </c>
    </row>
    <row r="564" spans="8:9" x14ac:dyDescent="0.25">
      <c r="H564" t="s">
        <v>2516</v>
      </c>
      <c r="I564" t="s">
        <v>2517</v>
      </c>
    </row>
    <row r="565" spans="8:9" x14ac:dyDescent="0.25">
      <c r="H565" t="s">
        <v>2518</v>
      </c>
      <c r="I565" t="s">
        <v>2519</v>
      </c>
    </row>
    <row r="566" spans="8:9" x14ac:dyDescent="0.25">
      <c r="H566" t="s">
        <v>2520</v>
      </c>
      <c r="I566" t="s">
        <v>2521</v>
      </c>
    </row>
    <row r="567" spans="8:9" x14ac:dyDescent="0.25">
      <c r="H567" t="s">
        <v>2522</v>
      </c>
      <c r="I567" t="s">
        <v>2523</v>
      </c>
    </row>
    <row r="568" spans="8:9" x14ac:dyDescent="0.25">
      <c r="H568" t="s">
        <v>2524</v>
      </c>
      <c r="I568" t="s">
        <v>2525</v>
      </c>
    </row>
    <row r="569" spans="8:9" x14ac:dyDescent="0.25">
      <c r="H569" t="s">
        <v>2526</v>
      </c>
      <c r="I569" t="s">
        <v>2527</v>
      </c>
    </row>
    <row r="570" spans="8:9" x14ac:dyDescent="0.25">
      <c r="H570" t="s">
        <v>2528</v>
      </c>
      <c r="I570" t="s">
        <v>2529</v>
      </c>
    </row>
    <row r="571" spans="8:9" x14ac:dyDescent="0.25">
      <c r="H571" t="s">
        <v>2530</v>
      </c>
      <c r="I571" t="s">
        <v>2531</v>
      </c>
    </row>
    <row r="572" spans="8:9" x14ac:dyDescent="0.25">
      <c r="H572" t="s">
        <v>2532</v>
      </c>
      <c r="I572" t="s">
        <v>2533</v>
      </c>
    </row>
    <row r="573" spans="8:9" x14ac:dyDescent="0.25">
      <c r="H573" t="s">
        <v>2534</v>
      </c>
      <c r="I573" t="s">
        <v>2535</v>
      </c>
    </row>
    <row r="574" spans="8:9" x14ac:dyDescent="0.25">
      <c r="H574" t="s">
        <v>2536</v>
      </c>
      <c r="I574" t="s">
        <v>2537</v>
      </c>
    </row>
    <row r="575" spans="8:9" x14ac:dyDescent="0.25">
      <c r="H575" t="s">
        <v>2538</v>
      </c>
      <c r="I575" t="s">
        <v>2539</v>
      </c>
    </row>
    <row r="576" spans="8:9" x14ac:dyDescent="0.25">
      <c r="H576" t="s">
        <v>2540</v>
      </c>
      <c r="I576" t="s">
        <v>2541</v>
      </c>
    </row>
    <row r="577" spans="8:9" x14ac:dyDescent="0.25">
      <c r="H577" t="s">
        <v>2542</v>
      </c>
      <c r="I577" t="s">
        <v>2543</v>
      </c>
    </row>
    <row r="578" spans="8:9" x14ac:dyDescent="0.25">
      <c r="H578" t="s">
        <v>2544</v>
      </c>
      <c r="I578" t="s">
        <v>2545</v>
      </c>
    </row>
    <row r="579" spans="8:9" x14ac:dyDescent="0.25">
      <c r="H579" t="s">
        <v>2546</v>
      </c>
      <c r="I579" t="s">
        <v>2547</v>
      </c>
    </row>
    <row r="580" spans="8:9" x14ac:dyDescent="0.25">
      <c r="H580" t="s">
        <v>2548</v>
      </c>
      <c r="I580" t="s">
        <v>2549</v>
      </c>
    </row>
    <row r="581" spans="8:9" x14ac:dyDescent="0.25">
      <c r="H581" t="s">
        <v>2550</v>
      </c>
      <c r="I581" t="s">
        <v>2551</v>
      </c>
    </row>
    <row r="582" spans="8:9" x14ac:dyDescent="0.25">
      <c r="H582" t="s">
        <v>650</v>
      </c>
      <c r="I582" t="s">
        <v>2552</v>
      </c>
    </row>
    <row r="583" spans="8:9" x14ac:dyDescent="0.25">
      <c r="H583" t="s">
        <v>2553</v>
      </c>
      <c r="I583" t="s">
        <v>2554</v>
      </c>
    </row>
    <row r="584" spans="8:9" x14ac:dyDescent="0.25">
      <c r="H584" t="s">
        <v>796</v>
      </c>
      <c r="I584" t="s">
        <v>2555</v>
      </c>
    </row>
    <row r="585" spans="8:9" x14ac:dyDescent="0.25">
      <c r="H585" t="s">
        <v>2556</v>
      </c>
      <c r="I585" t="s">
        <v>2557</v>
      </c>
    </row>
    <row r="586" spans="8:9" x14ac:dyDescent="0.25">
      <c r="H586" t="s">
        <v>4</v>
      </c>
      <c r="I586" t="s">
        <v>2558</v>
      </c>
    </row>
    <row r="587" spans="8:9" x14ac:dyDescent="0.25">
      <c r="H587" t="s">
        <v>1202</v>
      </c>
      <c r="I587" t="s">
        <v>2559</v>
      </c>
    </row>
    <row r="588" spans="8:9" x14ac:dyDescent="0.25">
      <c r="H588" t="s">
        <v>2560</v>
      </c>
      <c r="I588" t="s">
        <v>2561</v>
      </c>
    </row>
    <row r="589" spans="8:9" x14ac:dyDescent="0.25">
      <c r="H589" t="s">
        <v>2562</v>
      </c>
      <c r="I589" t="s">
        <v>2563</v>
      </c>
    </row>
    <row r="590" spans="8:9" x14ac:dyDescent="0.25">
      <c r="H590" t="s">
        <v>2564</v>
      </c>
      <c r="I590" t="s">
        <v>2565</v>
      </c>
    </row>
    <row r="591" spans="8:9" x14ac:dyDescent="0.25">
      <c r="H591" t="s">
        <v>2566</v>
      </c>
      <c r="I591" t="s">
        <v>2567</v>
      </c>
    </row>
    <row r="592" spans="8:9" x14ac:dyDescent="0.25">
      <c r="H592" t="s">
        <v>2568</v>
      </c>
      <c r="I592" t="s">
        <v>2569</v>
      </c>
    </row>
    <row r="593" spans="8:9" x14ac:dyDescent="0.25">
      <c r="H593" t="s">
        <v>2570</v>
      </c>
      <c r="I593" t="s">
        <v>2571</v>
      </c>
    </row>
    <row r="594" spans="8:9" x14ac:dyDescent="0.25">
      <c r="H594" t="s">
        <v>2572</v>
      </c>
      <c r="I594" t="s">
        <v>2573</v>
      </c>
    </row>
    <row r="595" spans="8:9" x14ac:dyDescent="0.25">
      <c r="H595" t="s">
        <v>2574</v>
      </c>
      <c r="I595" t="s">
        <v>2575</v>
      </c>
    </row>
    <row r="596" spans="8:9" x14ac:dyDescent="0.25">
      <c r="H596" t="s">
        <v>2576</v>
      </c>
      <c r="I596" t="s">
        <v>2577</v>
      </c>
    </row>
    <row r="597" spans="8:9" x14ac:dyDescent="0.25">
      <c r="H597" t="s">
        <v>2578</v>
      </c>
      <c r="I597" t="s">
        <v>2579</v>
      </c>
    </row>
    <row r="598" spans="8:9" x14ac:dyDescent="0.25">
      <c r="H598" t="s">
        <v>1182</v>
      </c>
      <c r="I598" t="s">
        <v>2580</v>
      </c>
    </row>
    <row r="599" spans="8:9" x14ac:dyDescent="0.25">
      <c r="H599" t="s">
        <v>2581</v>
      </c>
      <c r="I599" t="s">
        <v>2582</v>
      </c>
    </row>
    <row r="600" spans="8:9" x14ac:dyDescent="0.25">
      <c r="H600" t="s">
        <v>2583</v>
      </c>
      <c r="I600" t="s">
        <v>2584</v>
      </c>
    </row>
    <row r="601" spans="8:9" x14ac:dyDescent="0.25">
      <c r="H601" t="s">
        <v>2585</v>
      </c>
      <c r="I601" t="s">
        <v>2586</v>
      </c>
    </row>
    <row r="602" spans="8:9" x14ac:dyDescent="0.25">
      <c r="H602" t="s">
        <v>2587</v>
      </c>
      <c r="I602" t="s">
        <v>2588</v>
      </c>
    </row>
    <row r="603" spans="8:9" x14ac:dyDescent="0.25">
      <c r="H603" t="s">
        <v>2589</v>
      </c>
      <c r="I603" t="s">
        <v>2590</v>
      </c>
    </row>
    <row r="604" spans="8:9" x14ac:dyDescent="0.25">
      <c r="H604" t="s">
        <v>2591</v>
      </c>
      <c r="I604" t="s">
        <v>2592</v>
      </c>
    </row>
    <row r="605" spans="8:9" x14ac:dyDescent="0.25">
      <c r="H605" t="s">
        <v>2593</v>
      </c>
      <c r="I605" t="s">
        <v>2594</v>
      </c>
    </row>
    <row r="606" spans="8:9" x14ac:dyDescent="0.25">
      <c r="H606" t="s">
        <v>2595</v>
      </c>
      <c r="I606" t="s">
        <v>2596</v>
      </c>
    </row>
    <row r="607" spans="8:9" x14ac:dyDescent="0.25">
      <c r="H607" t="s">
        <v>2597</v>
      </c>
      <c r="I607" t="s">
        <v>2598</v>
      </c>
    </row>
    <row r="608" spans="8:9" x14ac:dyDescent="0.25">
      <c r="H608" t="s">
        <v>2599</v>
      </c>
      <c r="I608" t="s">
        <v>2600</v>
      </c>
    </row>
    <row r="609" spans="8:9" x14ac:dyDescent="0.25">
      <c r="H609" t="s">
        <v>668</v>
      </c>
      <c r="I609" t="s">
        <v>2601</v>
      </c>
    </row>
    <row r="610" spans="8:9" x14ac:dyDescent="0.25">
      <c r="H610" t="s">
        <v>2602</v>
      </c>
      <c r="I610" t="s">
        <v>2586</v>
      </c>
    </row>
    <row r="611" spans="8:9" x14ac:dyDescent="0.25">
      <c r="H611" t="s">
        <v>2603</v>
      </c>
      <c r="I611" t="s">
        <v>2604</v>
      </c>
    </row>
    <row r="612" spans="8:9" x14ac:dyDescent="0.25">
      <c r="H612" t="s">
        <v>2605</v>
      </c>
      <c r="I612" t="s">
        <v>2606</v>
      </c>
    </row>
    <row r="613" spans="8:9" x14ac:dyDescent="0.25">
      <c r="H613" t="s">
        <v>2607</v>
      </c>
      <c r="I613" t="s">
        <v>2608</v>
      </c>
    </row>
    <row r="614" spans="8:9" x14ac:dyDescent="0.25">
      <c r="H614" t="s">
        <v>2609</v>
      </c>
      <c r="I614" t="s">
        <v>2610</v>
      </c>
    </row>
    <row r="615" spans="8:9" x14ac:dyDescent="0.25">
      <c r="H615" t="s">
        <v>2611</v>
      </c>
      <c r="I615" t="s">
        <v>2612</v>
      </c>
    </row>
    <row r="616" spans="8:9" x14ac:dyDescent="0.25">
      <c r="H616" t="s">
        <v>2613</v>
      </c>
      <c r="I616" t="s">
        <v>2614</v>
      </c>
    </row>
    <row r="617" spans="8:9" x14ac:dyDescent="0.25">
      <c r="H617" t="s">
        <v>2615</v>
      </c>
      <c r="I617" t="s">
        <v>2616</v>
      </c>
    </row>
    <row r="618" spans="8:9" x14ac:dyDescent="0.25">
      <c r="H618" t="s">
        <v>2617</v>
      </c>
      <c r="I618" t="s">
        <v>2618</v>
      </c>
    </row>
    <row r="619" spans="8:9" x14ac:dyDescent="0.25">
      <c r="H619" t="s">
        <v>2619</v>
      </c>
      <c r="I619" t="s">
        <v>2620</v>
      </c>
    </row>
    <row r="620" spans="8:9" x14ac:dyDescent="0.25">
      <c r="H620" t="s">
        <v>2621</v>
      </c>
      <c r="I620" t="s">
        <v>2622</v>
      </c>
    </row>
    <row r="621" spans="8:9" x14ac:dyDescent="0.25">
      <c r="H621" t="s">
        <v>2623</v>
      </c>
      <c r="I621" t="s">
        <v>2624</v>
      </c>
    </row>
    <row r="622" spans="8:9" x14ac:dyDescent="0.25">
      <c r="H622" t="s">
        <v>2625</v>
      </c>
      <c r="I622" t="s">
        <v>2626</v>
      </c>
    </row>
    <row r="623" spans="8:9" x14ac:dyDescent="0.25">
      <c r="H623" t="s">
        <v>2627</v>
      </c>
      <c r="I623" t="s">
        <v>2465</v>
      </c>
    </row>
    <row r="624" spans="8:9" x14ac:dyDescent="0.25">
      <c r="H624" t="s">
        <v>2628</v>
      </c>
      <c r="I624" t="s">
        <v>2467</v>
      </c>
    </row>
    <row r="625" spans="8:9" x14ac:dyDescent="0.25">
      <c r="H625" t="s">
        <v>2629</v>
      </c>
      <c r="I625" t="s">
        <v>2469</v>
      </c>
    </row>
    <row r="626" spans="8:9" x14ac:dyDescent="0.25">
      <c r="H626" t="s">
        <v>2630</v>
      </c>
      <c r="I626" t="s">
        <v>2631</v>
      </c>
    </row>
    <row r="627" spans="8:9" x14ac:dyDescent="0.25">
      <c r="H627" t="s">
        <v>2632</v>
      </c>
      <c r="I627" t="s">
        <v>2471</v>
      </c>
    </row>
    <row r="628" spans="8:9" x14ac:dyDescent="0.25">
      <c r="H628" t="s">
        <v>2633</v>
      </c>
      <c r="I628" t="s">
        <v>2634</v>
      </c>
    </row>
    <row r="629" spans="8:9" x14ac:dyDescent="0.25">
      <c r="H629" t="s">
        <v>2635</v>
      </c>
      <c r="I629" t="s">
        <v>2479</v>
      </c>
    </row>
    <row r="630" spans="8:9" x14ac:dyDescent="0.25">
      <c r="H630" t="s">
        <v>506</v>
      </c>
      <c r="I630" t="s">
        <v>2636</v>
      </c>
    </row>
    <row r="631" spans="8:9" x14ac:dyDescent="0.25">
      <c r="H631" t="s">
        <v>2637</v>
      </c>
      <c r="I631" t="s">
        <v>2482</v>
      </c>
    </row>
    <row r="632" spans="8:9" x14ac:dyDescent="0.25">
      <c r="H632" t="s">
        <v>1163</v>
      </c>
      <c r="I632" t="s">
        <v>2484</v>
      </c>
    </row>
    <row r="633" spans="8:9" x14ac:dyDescent="0.25">
      <c r="H633" t="s">
        <v>2638</v>
      </c>
      <c r="I633" t="s">
        <v>2485</v>
      </c>
    </row>
    <row r="634" spans="8:9" x14ac:dyDescent="0.25">
      <c r="H634" t="s">
        <v>2639</v>
      </c>
      <c r="I634" t="s">
        <v>2489</v>
      </c>
    </row>
    <row r="635" spans="8:9" x14ac:dyDescent="0.25">
      <c r="H635" t="s">
        <v>2640</v>
      </c>
      <c r="I635" t="s">
        <v>2491</v>
      </c>
    </row>
    <row r="636" spans="8:9" x14ac:dyDescent="0.25">
      <c r="H636" t="s">
        <v>2641</v>
      </c>
      <c r="I636" t="s">
        <v>2642</v>
      </c>
    </row>
    <row r="637" spans="8:9" x14ac:dyDescent="0.25">
      <c r="H637" t="s">
        <v>2643</v>
      </c>
      <c r="I637" t="s">
        <v>2644</v>
      </c>
    </row>
    <row r="638" spans="8:9" x14ac:dyDescent="0.25">
      <c r="H638" t="s">
        <v>2645</v>
      </c>
      <c r="I638" t="s">
        <v>2646</v>
      </c>
    </row>
    <row r="639" spans="8:9" x14ac:dyDescent="0.25">
      <c r="H639" t="s">
        <v>2647</v>
      </c>
      <c r="I639" t="s">
        <v>2648</v>
      </c>
    </row>
    <row r="640" spans="8:9" x14ac:dyDescent="0.25">
      <c r="H640" t="s">
        <v>2649</v>
      </c>
      <c r="I640" t="s">
        <v>2650</v>
      </c>
    </row>
    <row r="641" spans="8:9" x14ac:dyDescent="0.25">
      <c r="H641" t="s">
        <v>948</v>
      </c>
      <c r="I641" t="s">
        <v>2651</v>
      </c>
    </row>
    <row r="642" spans="8:9" x14ac:dyDescent="0.25">
      <c r="H642" t="s">
        <v>2652</v>
      </c>
      <c r="I642" t="s">
        <v>2512</v>
      </c>
    </row>
    <row r="643" spans="8:9" x14ac:dyDescent="0.25">
      <c r="H643" t="s">
        <v>2653</v>
      </c>
      <c r="I643" t="s">
        <v>2654</v>
      </c>
    </row>
    <row r="644" spans="8:9" x14ac:dyDescent="0.25">
      <c r="H644" t="s">
        <v>2655</v>
      </c>
      <c r="I644" t="s">
        <v>2514</v>
      </c>
    </row>
    <row r="645" spans="8:9" x14ac:dyDescent="0.25">
      <c r="H645" t="s">
        <v>2656</v>
      </c>
      <c r="I645" t="s">
        <v>2515</v>
      </c>
    </row>
    <row r="646" spans="8:9" x14ac:dyDescent="0.25">
      <c r="H646" t="s">
        <v>2657</v>
      </c>
      <c r="I646" t="s">
        <v>2517</v>
      </c>
    </row>
    <row r="647" spans="8:9" x14ac:dyDescent="0.25">
      <c r="H647" t="s">
        <v>2658</v>
      </c>
      <c r="I647" t="s">
        <v>2519</v>
      </c>
    </row>
    <row r="648" spans="8:9" x14ac:dyDescent="0.25">
      <c r="H648" t="s">
        <v>2659</v>
      </c>
      <c r="I648" t="s">
        <v>2521</v>
      </c>
    </row>
    <row r="649" spans="8:9" x14ac:dyDescent="0.25">
      <c r="H649" t="s">
        <v>2660</v>
      </c>
      <c r="I649" t="s">
        <v>2525</v>
      </c>
    </row>
    <row r="650" spans="8:9" x14ac:dyDescent="0.25">
      <c r="H650" t="s">
        <v>2661</v>
      </c>
      <c r="I650" t="s">
        <v>2527</v>
      </c>
    </row>
    <row r="651" spans="8:9" x14ac:dyDescent="0.25">
      <c r="H651" t="s">
        <v>2662</v>
      </c>
      <c r="I651" t="s">
        <v>2531</v>
      </c>
    </row>
    <row r="652" spans="8:9" x14ac:dyDescent="0.25">
      <c r="H652" t="s">
        <v>2663</v>
      </c>
      <c r="I652" t="s">
        <v>2535</v>
      </c>
    </row>
    <row r="653" spans="8:9" x14ac:dyDescent="0.25">
      <c r="H653" t="s">
        <v>2664</v>
      </c>
      <c r="I653" t="s">
        <v>2539</v>
      </c>
    </row>
    <row r="654" spans="8:9" x14ac:dyDescent="0.25">
      <c r="H654" t="s">
        <v>2665</v>
      </c>
      <c r="I654" t="s">
        <v>2543</v>
      </c>
    </row>
    <row r="655" spans="8:9" x14ac:dyDescent="0.25">
      <c r="H655" t="s">
        <v>2666</v>
      </c>
      <c r="I655" t="s">
        <v>2545</v>
      </c>
    </row>
    <row r="656" spans="8:9" x14ac:dyDescent="0.25">
      <c r="H656" t="s">
        <v>2667</v>
      </c>
      <c r="I656" t="s">
        <v>2552</v>
      </c>
    </row>
    <row r="657" spans="8:9" x14ac:dyDescent="0.25">
      <c r="H657" t="s">
        <v>2668</v>
      </c>
      <c r="I657" t="s">
        <v>2554</v>
      </c>
    </row>
    <row r="658" spans="8:9" x14ac:dyDescent="0.25">
      <c r="H658" t="s">
        <v>2669</v>
      </c>
      <c r="I658" t="s">
        <v>2555</v>
      </c>
    </row>
    <row r="659" spans="8:9" x14ac:dyDescent="0.25">
      <c r="H659" t="s">
        <v>2670</v>
      </c>
      <c r="I659" t="s">
        <v>2671</v>
      </c>
    </row>
    <row r="660" spans="8:9" x14ac:dyDescent="0.25">
      <c r="H660" t="s">
        <v>2672</v>
      </c>
      <c r="I660" t="s">
        <v>2552</v>
      </c>
    </row>
    <row r="661" spans="8:9" x14ac:dyDescent="0.25">
      <c r="H661" t="s">
        <v>2673</v>
      </c>
      <c r="I661" t="s">
        <v>2554</v>
      </c>
    </row>
    <row r="662" spans="8:9" x14ac:dyDescent="0.25">
      <c r="H662" t="s">
        <v>2674</v>
      </c>
      <c r="I662" t="s">
        <v>2555</v>
      </c>
    </row>
    <row r="663" spans="8:9" x14ac:dyDescent="0.25">
      <c r="H663" t="s">
        <v>2675</v>
      </c>
      <c r="I663" t="s">
        <v>2558</v>
      </c>
    </row>
    <row r="664" spans="8:9" x14ac:dyDescent="0.25">
      <c r="H664" t="s">
        <v>2676</v>
      </c>
      <c r="I664" t="s">
        <v>2561</v>
      </c>
    </row>
    <row r="665" spans="8:9" x14ac:dyDescent="0.25">
      <c r="H665" t="s">
        <v>2677</v>
      </c>
      <c r="I665" t="s">
        <v>2565</v>
      </c>
    </row>
    <row r="666" spans="8:9" x14ac:dyDescent="0.25">
      <c r="H666" t="s">
        <v>2678</v>
      </c>
      <c r="I666" t="s">
        <v>2569</v>
      </c>
    </row>
    <row r="667" spans="8:9" x14ac:dyDescent="0.25">
      <c r="H667" t="s">
        <v>2679</v>
      </c>
      <c r="I667" t="s">
        <v>2573</v>
      </c>
    </row>
    <row r="668" spans="8:9" x14ac:dyDescent="0.25">
      <c r="H668" t="s">
        <v>2680</v>
      </c>
      <c r="I668" t="s">
        <v>2575</v>
      </c>
    </row>
    <row r="669" spans="8:9" x14ac:dyDescent="0.25">
      <c r="H669" t="s">
        <v>2681</v>
      </c>
      <c r="I669" t="s">
        <v>2682</v>
      </c>
    </row>
    <row r="670" spans="8:9" x14ac:dyDescent="0.25">
      <c r="H670" t="s">
        <v>2683</v>
      </c>
      <c r="I670" t="s">
        <v>2684</v>
      </c>
    </row>
    <row r="671" spans="8:9" x14ac:dyDescent="0.25">
      <c r="H671" t="s">
        <v>2685</v>
      </c>
      <c r="I671" t="s">
        <v>2686</v>
      </c>
    </row>
    <row r="672" spans="8:9" x14ac:dyDescent="0.25">
      <c r="H672" t="s">
        <v>2687</v>
      </c>
      <c r="I672" t="s">
        <v>2688</v>
      </c>
    </row>
    <row r="673" spans="8:9" x14ac:dyDescent="0.25">
      <c r="H673" t="s">
        <v>2689</v>
      </c>
      <c r="I673" t="s">
        <v>2690</v>
      </c>
    </row>
    <row r="674" spans="8:9" x14ac:dyDescent="0.25">
      <c r="H674" t="s">
        <v>2691</v>
      </c>
      <c r="I674" t="s">
        <v>2692</v>
      </c>
    </row>
    <row r="675" spans="8:9" x14ac:dyDescent="0.25">
      <c r="H675" t="s">
        <v>2693</v>
      </c>
      <c r="I675" t="s">
        <v>2634</v>
      </c>
    </row>
    <row r="676" spans="8:9" x14ac:dyDescent="0.25">
      <c r="H676" t="s">
        <v>2694</v>
      </c>
      <c r="I676" t="s">
        <v>2479</v>
      </c>
    </row>
    <row r="677" spans="8:9" x14ac:dyDescent="0.25">
      <c r="H677" t="s">
        <v>2695</v>
      </c>
      <c r="I677" t="s">
        <v>2636</v>
      </c>
    </row>
    <row r="678" spans="8:9" x14ac:dyDescent="0.25">
      <c r="H678" t="s">
        <v>2696</v>
      </c>
      <c r="I678" t="s">
        <v>2482</v>
      </c>
    </row>
    <row r="679" spans="8:9" x14ac:dyDescent="0.25">
      <c r="H679" t="s">
        <v>2697</v>
      </c>
      <c r="I679" t="s">
        <v>2698</v>
      </c>
    </row>
    <row r="680" spans="8:9" x14ac:dyDescent="0.25">
      <c r="H680" t="s">
        <v>2699</v>
      </c>
      <c r="I680" t="s">
        <v>2700</v>
      </c>
    </row>
    <row r="681" spans="8:9" x14ac:dyDescent="0.25">
      <c r="H681" t="s">
        <v>2701</v>
      </c>
      <c r="I681" t="s">
        <v>2702</v>
      </c>
    </row>
    <row r="682" spans="8:9" x14ac:dyDescent="0.25">
      <c r="H682" t="s">
        <v>2703</v>
      </c>
      <c r="I682" t="s">
        <v>2704</v>
      </c>
    </row>
    <row r="683" spans="8:9" x14ac:dyDescent="0.25">
      <c r="H683" t="s">
        <v>2705</v>
      </c>
      <c r="I683" t="s">
        <v>2642</v>
      </c>
    </row>
    <row r="684" spans="8:9" x14ac:dyDescent="0.25">
      <c r="H684" t="s">
        <v>2706</v>
      </c>
      <c r="I684" t="s">
        <v>2644</v>
      </c>
    </row>
    <row r="685" spans="8:9" x14ac:dyDescent="0.25">
      <c r="H685" t="s">
        <v>2707</v>
      </c>
      <c r="I685" t="s">
        <v>2499</v>
      </c>
    </row>
    <row r="686" spans="8:9" x14ac:dyDescent="0.25">
      <c r="H686" t="s">
        <v>2708</v>
      </c>
      <c r="I686" t="s">
        <v>2501</v>
      </c>
    </row>
    <row r="687" spans="8:9" x14ac:dyDescent="0.25">
      <c r="H687" t="s">
        <v>2709</v>
      </c>
      <c r="I687" t="s">
        <v>2710</v>
      </c>
    </row>
    <row r="688" spans="8:9" x14ac:dyDescent="0.25">
      <c r="H688" t="s">
        <v>2711</v>
      </c>
      <c r="I688" t="s">
        <v>2505</v>
      </c>
    </row>
    <row r="689" spans="8:9" x14ac:dyDescent="0.25">
      <c r="H689" t="s">
        <v>2712</v>
      </c>
      <c r="I689" t="s">
        <v>2531</v>
      </c>
    </row>
    <row r="690" spans="8:9" x14ac:dyDescent="0.25">
      <c r="H690" t="s">
        <v>2713</v>
      </c>
      <c r="I690" t="s">
        <v>2648</v>
      </c>
    </row>
    <row r="691" spans="8:9" x14ac:dyDescent="0.25">
      <c r="H691" t="s">
        <v>2714</v>
      </c>
      <c r="I691" t="s">
        <v>2715</v>
      </c>
    </row>
    <row r="692" spans="8:9" x14ac:dyDescent="0.25">
      <c r="H692" t="s">
        <v>2716</v>
      </c>
      <c r="I692" t="s">
        <v>2552</v>
      </c>
    </row>
    <row r="693" spans="8:9" x14ac:dyDescent="0.25">
      <c r="H693" t="s">
        <v>2717</v>
      </c>
      <c r="I693" t="s">
        <v>2718</v>
      </c>
    </row>
    <row r="694" spans="8:9" x14ac:dyDescent="0.25">
      <c r="H694" t="s">
        <v>2719</v>
      </c>
      <c r="I694" t="s">
        <v>2720</v>
      </c>
    </row>
    <row r="695" spans="8:9" x14ac:dyDescent="0.25">
      <c r="H695" t="s">
        <v>2721</v>
      </c>
      <c r="I695" t="s">
        <v>2722</v>
      </c>
    </row>
    <row r="696" spans="8:9" x14ac:dyDescent="0.25">
      <c r="H696" t="s">
        <v>2723</v>
      </c>
      <c r="I696" t="s">
        <v>2724</v>
      </c>
    </row>
    <row r="697" spans="8:9" x14ac:dyDescent="0.25">
      <c r="H697" t="s">
        <v>2725</v>
      </c>
      <c r="I697" t="s">
        <v>2565</v>
      </c>
    </row>
    <row r="698" spans="8:9" x14ac:dyDescent="0.25">
      <c r="H698" t="s">
        <v>2726</v>
      </c>
      <c r="I698" t="s">
        <v>2569</v>
      </c>
    </row>
    <row r="699" spans="8:9" x14ac:dyDescent="0.25">
      <c r="H699" t="s">
        <v>2727</v>
      </c>
      <c r="I699" t="s">
        <v>2728</v>
      </c>
    </row>
    <row r="700" spans="8:9" x14ac:dyDescent="0.25">
      <c r="H700" t="s">
        <v>2729</v>
      </c>
      <c r="I700" t="s">
        <v>2730</v>
      </c>
    </row>
    <row r="701" spans="8:9" x14ac:dyDescent="0.25">
      <c r="H701" t="s">
        <v>2731</v>
      </c>
      <c r="I701" t="s">
        <v>2732</v>
      </c>
    </row>
    <row r="702" spans="8:9" x14ac:dyDescent="0.25">
      <c r="H702" t="s">
        <v>2733</v>
      </c>
      <c r="I702" t="s">
        <v>2734</v>
      </c>
    </row>
    <row r="703" spans="8:9" x14ac:dyDescent="0.25">
      <c r="H703" t="s">
        <v>2735</v>
      </c>
      <c r="I703" t="s">
        <v>2736</v>
      </c>
    </row>
    <row r="704" spans="8:9" x14ac:dyDescent="0.25">
      <c r="H704" t="s">
        <v>2737</v>
      </c>
      <c r="I704" t="s">
        <v>2738</v>
      </c>
    </row>
    <row r="705" spans="8:9" x14ac:dyDescent="0.25">
      <c r="H705" t="s">
        <v>2739</v>
      </c>
      <c r="I705" t="s">
        <v>2740</v>
      </c>
    </row>
    <row r="706" spans="8:9" x14ac:dyDescent="0.25">
      <c r="H706" t="s">
        <v>2741</v>
      </c>
      <c r="I706" t="s">
        <v>2742</v>
      </c>
    </row>
    <row r="707" spans="8:9" x14ac:dyDescent="0.25">
      <c r="H707" t="s">
        <v>2743</v>
      </c>
      <c r="I707" t="s">
        <v>2744</v>
      </c>
    </row>
    <row r="708" spans="8:9" x14ac:dyDescent="0.25">
      <c r="H708" t="s">
        <v>2745</v>
      </c>
      <c r="I708" t="s">
        <v>2746</v>
      </c>
    </row>
    <row r="709" spans="8:9" x14ac:dyDescent="0.25">
      <c r="H709" t="s">
        <v>2747</v>
      </c>
      <c r="I709" t="s">
        <v>2748</v>
      </c>
    </row>
    <row r="710" spans="8:9" x14ac:dyDescent="0.25">
      <c r="H710" t="s">
        <v>2749</v>
      </c>
      <c r="I710" t="s">
        <v>2750</v>
      </c>
    </row>
    <row r="711" spans="8:9" x14ac:dyDescent="0.25">
      <c r="H711" t="s">
        <v>2751</v>
      </c>
      <c r="I711" t="s">
        <v>2752</v>
      </c>
    </row>
    <row r="712" spans="8:9" x14ac:dyDescent="0.25">
      <c r="H712" t="s">
        <v>2753</v>
      </c>
      <c r="I712" t="s">
        <v>2754</v>
      </c>
    </row>
    <row r="713" spans="8:9" x14ac:dyDescent="0.25">
      <c r="H713" t="s">
        <v>2755</v>
      </c>
      <c r="I713" t="s">
        <v>2756</v>
      </c>
    </row>
    <row r="714" spans="8:9" x14ac:dyDescent="0.25">
      <c r="H714" t="s">
        <v>2757</v>
      </c>
      <c r="I714" t="s">
        <v>2758</v>
      </c>
    </row>
    <row r="715" spans="8:9" x14ac:dyDescent="0.25">
      <c r="H715" t="s">
        <v>2759</v>
      </c>
      <c r="I715" t="s">
        <v>2760</v>
      </c>
    </row>
    <row r="716" spans="8:9" x14ac:dyDescent="0.25">
      <c r="H716" t="s">
        <v>2761</v>
      </c>
      <c r="I716" t="s">
        <v>2762</v>
      </c>
    </row>
    <row r="717" spans="8:9" x14ac:dyDescent="0.25">
      <c r="H717" t="s">
        <v>2763</v>
      </c>
      <c r="I717" t="s">
        <v>2764</v>
      </c>
    </row>
    <row r="718" spans="8:9" x14ac:dyDescent="0.25">
      <c r="H718" t="s">
        <v>2765</v>
      </c>
      <c r="I718" t="s">
        <v>2766</v>
      </c>
    </row>
    <row r="719" spans="8:9" x14ac:dyDescent="0.25">
      <c r="H719" t="s">
        <v>2767</v>
      </c>
      <c r="I719" t="s">
        <v>2768</v>
      </c>
    </row>
    <row r="720" spans="8:9" x14ac:dyDescent="0.25">
      <c r="H720" t="s">
        <v>2769</v>
      </c>
      <c r="I720" t="s">
        <v>2770</v>
      </c>
    </row>
    <row r="721" spans="8:9" x14ac:dyDescent="0.25">
      <c r="H721" t="s">
        <v>2771</v>
      </c>
      <c r="I721" t="s">
        <v>2772</v>
      </c>
    </row>
    <row r="722" spans="8:9" x14ac:dyDescent="0.25">
      <c r="H722" t="s">
        <v>2773</v>
      </c>
      <c r="I722" t="s">
        <v>2774</v>
      </c>
    </row>
    <row r="723" spans="8:9" x14ac:dyDescent="0.25">
      <c r="H723" t="s">
        <v>2775</v>
      </c>
      <c r="I723" t="s">
        <v>2776</v>
      </c>
    </row>
    <row r="724" spans="8:9" x14ac:dyDescent="0.25">
      <c r="H724" t="s">
        <v>2777</v>
      </c>
      <c r="I724" t="s">
        <v>2778</v>
      </c>
    </row>
    <row r="725" spans="8:9" x14ac:dyDescent="0.25">
      <c r="H725" t="s">
        <v>2779</v>
      </c>
      <c r="I725" t="s">
        <v>2778</v>
      </c>
    </row>
    <row r="726" spans="8:9" x14ac:dyDescent="0.25">
      <c r="H726" t="s">
        <v>2780</v>
      </c>
      <c r="I726" t="s">
        <v>2781</v>
      </c>
    </row>
    <row r="727" spans="8:9" x14ac:dyDescent="0.25">
      <c r="H727" t="s">
        <v>2782</v>
      </c>
      <c r="I727" t="s">
        <v>2783</v>
      </c>
    </row>
    <row r="728" spans="8:9" x14ac:dyDescent="0.25">
      <c r="H728" t="s">
        <v>2784</v>
      </c>
      <c r="I728" t="s">
        <v>2785</v>
      </c>
    </row>
    <row r="729" spans="8:9" x14ac:dyDescent="0.25">
      <c r="H729" t="s">
        <v>2786</v>
      </c>
      <c r="I729" t="s">
        <v>2787</v>
      </c>
    </row>
    <row r="730" spans="8:9" x14ac:dyDescent="0.25">
      <c r="H730" t="s">
        <v>2788</v>
      </c>
      <c r="I730" t="s">
        <v>2789</v>
      </c>
    </row>
    <row r="731" spans="8:9" x14ac:dyDescent="0.25">
      <c r="H731" t="s">
        <v>2790</v>
      </c>
      <c r="I731" t="s">
        <v>2791</v>
      </c>
    </row>
    <row r="732" spans="8:9" x14ac:dyDescent="0.25">
      <c r="H732" t="s">
        <v>2792</v>
      </c>
      <c r="I732" t="s">
        <v>2793</v>
      </c>
    </row>
    <row r="733" spans="8:9" x14ac:dyDescent="0.25">
      <c r="H733" t="s">
        <v>2794</v>
      </c>
      <c r="I733" t="s">
        <v>2795</v>
      </c>
    </row>
    <row r="734" spans="8:9" x14ac:dyDescent="0.25">
      <c r="H734" t="s">
        <v>2796</v>
      </c>
      <c r="I734" t="s">
        <v>2797</v>
      </c>
    </row>
    <row r="735" spans="8:9" x14ac:dyDescent="0.25">
      <c r="H735" t="s">
        <v>2798</v>
      </c>
      <c r="I735" t="s">
        <v>2799</v>
      </c>
    </row>
    <row r="736" spans="8:9" x14ac:dyDescent="0.25">
      <c r="H736" t="s">
        <v>2800</v>
      </c>
      <c r="I736" t="s">
        <v>2801</v>
      </c>
    </row>
    <row r="737" spans="8:9" x14ac:dyDescent="0.25">
      <c r="H737" t="s">
        <v>2802</v>
      </c>
      <c r="I737" t="s">
        <v>2803</v>
      </c>
    </row>
    <row r="738" spans="8:9" x14ac:dyDescent="0.25">
      <c r="H738" t="s">
        <v>2804</v>
      </c>
      <c r="I738" t="s">
        <v>2805</v>
      </c>
    </row>
    <row r="739" spans="8:9" x14ac:dyDescent="0.25">
      <c r="H739" t="s">
        <v>2806</v>
      </c>
      <c r="I739" t="s">
        <v>2807</v>
      </c>
    </row>
    <row r="740" spans="8:9" x14ac:dyDescent="0.25">
      <c r="H740" t="s">
        <v>2808</v>
      </c>
      <c r="I740" t="s">
        <v>2809</v>
      </c>
    </row>
    <row r="741" spans="8:9" x14ac:dyDescent="0.25">
      <c r="H741" t="s">
        <v>2810</v>
      </c>
      <c r="I741" t="s">
        <v>2811</v>
      </c>
    </row>
    <row r="742" spans="8:9" x14ac:dyDescent="0.25">
      <c r="H742" t="s">
        <v>2812</v>
      </c>
      <c r="I742" t="s">
        <v>2813</v>
      </c>
    </row>
    <row r="743" spans="8:9" x14ac:dyDescent="0.25">
      <c r="H743" t="s">
        <v>2814</v>
      </c>
      <c r="I743" t="s">
        <v>2815</v>
      </c>
    </row>
    <row r="744" spans="8:9" x14ac:dyDescent="0.25">
      <c r="H744" t="s">
        <v>2816</v>
      </c>
      <c r="I744" t="s">
        <v>2817</v>
      </c>
    </row>
    <row r="745" spans="8:9" x14ac:dyDescent="0.25">
      <c r="H745" t="s">
        <v>2818</v>
      </c>
      <c r="I745" t="s">
        <v>2819</v>
      </c>
    </row>
    <row r="746" spans="8:9" x14ac:dyDescent="0.25">
      <c r="H746" t="s">
        <v>2820</v>
      </c>
      <c r="I746" t="s">
        <v>2821</v>
      </c>
    </row>
    <row r="747" spans="8:9" x14ac:dyDescent="0.25">
      <c r="H747" t="s">
        <v>2822</v>
      </c>
      <c r="I747" t="s">
        <v>2823</v>
      </c>
    </row>
    <row r="748" spans="8:9" x14ac:dyDescent="0.25">
      <c r="H748" t="s">
        <v>2824</v>
      </c>
      <c r="I748" t="s">
        <v>2825</v>
      </c>
    </row>
    <row r="749" spans="8:9" x14ac:dyDescent="0.25">
      <c r="H749" t="s">
        <v>2826</v>
      </c>
      <c r="I749" t="s">
        <v>2827</v>
      </c>
    </row>
    <row r="750" spans="8:9" x14ac:dyDescent="0.25">
      <c r="H750" t="s">
        <v>2828</v>
      </c>
      <c r="I750" t="s">
        <v>2829</v>
      </c>
    </row>
    <row r="751" spans="8:9" x14ac:dyDescent="0.25">
      <c r="H751" t="s">
        <v>2830</v>
      </c>
      <c r="I751" t="s">
        <v>2831</v>
      </c>
    </row>
    <row r="752" spans="8:9" x14ac:dyDescent="0.25">
      <c r="H752" t="s">
        <v>2832</v>
      </c>
      <c r="I752" t="s">
        <v>2833</v>
      </c>
    </row>
    <row r="753" spans="8:9" x14ac:dyDescent="0.25">
      <c r="H753" t="s">
        <v>2834</v>
      </c>
      <c r="I753" t="s">
        <v>2835</v>
      </c>
    </row>
    <row r="754" spans="8:9" x14ac:dyDescent="0.25">
      <c r="H754" t="s">
        <v>2836</v>
      </c>
      <c r="I754" t="s">
        <v>2837</v>
      </c>
    </row>
    <row r="755" spans="8:9" x14ac:dyDescent="0.25">
      <c r="H755" t="s">
        <v>2838</v>
      </c>
      <c r="I755" t="s">
        <v>2839</v>
      </c>
    </row>
    <row r="756" spans="8:9" x14ac:dyDescent="0.25">
      <c r="H756" t="s">
        <v>2840</v>
      </c>
      <c r="I756" t="s">
        <v>2841</v>
      </c>
    </row>
    <row r="757" spans="8:9" x14ac:dyDescent="0.25">
      <c r="H757" t="s">
        <v>2842</v>
      </c>
      <c r="I757" t="s">
        <v>2843</v>
      </c>
    </row>
    <row r="758" spans="8:9" x14ac:dyDescent="0.25">
      <c r="H758" t="s">
        <v>2844</v>
      </c>
      <c r="I758" t="s">
        <v>2845</v>
      </c>
    </row>
    <row r="759" spans="8:9" x14ac:dyDescent="0.25">
      <c r="H759" t="s">
        <v>2846</v>
      </c>
      <c r="I759" t="s">
        <v>2847</v>
      </c>
    </row>
    <row r="760" spans="8:9" x14ac:dyDescent="0.25">
      <c r="H760" t="s">
        <v>2848</v>
      </c>
      <c r="I760" t="s">
        <v>2849</v>
      </c>
    </row>
    <row r="761" spans="8:9" x14ac:dyDescent="0.25">
      <c r="H761" t="s">
        <v>2850</v>
      </c>
      <c r="I761" t="s">
        <v>2851</v>
      </c>
    </row>
    <row r="762" spans="8:9" x14ac:dyDescent="0.25">
      <c r="H762" t="s">
        <v>2852</v>
      </c>
      <c r="I762" t="s">
        <v>2853</v>
      </c>
    </row>
    <row r="763" spans="8:9" x14ac:dyDescent="0.25">
      <c r="H763" t="s">
        <v>2854</v>
      </c>
      <c r="I763" t="s">
        <v>2855</v>
      </c>
    </row>
    <row r="764" spans="8:9" x14ac:dyDescent="0.25">
      <c r="H764" t="s">
        <v>2856</v>
      </c>
      <c r="I764" t="s">
        <v>2857</v>
      </c>
    </row>
    <row r="765" spans="8:9" x14ac:dyDescent="0.25">
      <c r="H765" t="s">
        <v>2858</v>
      </c>
      <c r="I765" t="s">
        <v>2859</v>
      </c>
    </row>
    <row r="766" spans="8:9" x14ac:dyDescent="0.25">
      <c r="H766" t="s">
        <v>2860</v>
      </c>
      <c r="I766" t="s">
        <v>2861</v>
      </c>
    </row>
    <row r="767" spans="8:9" x14ac:dyDescent="0.25">
      <c r="H767" t="s">
        <v>2862</v>
      </c>
      <c r="I767" t="s">
        <v>2863</v>
      </c>
    </row>
    <row r="768" spans="8:9" x14ac:dyDescent="0.25">
      <c r="H768" t="s">
        <v>2864</v>
      </c>
      <c r="I768" t="s">
        <v>2865</v>
      </c>
    </row>
    <row r="769" spans="8:9" x14ac:dyDescent="0.25">
      <c r="H769" t="s">
        <v>2866</v>
      </c>
      <c r="I769" t="s">
        <v>2867</v>
      </c>
    </row>
    <row r="770" spans="8:9" x14ac:dyDescent="0.25">
      <c r="H770" t="s">
        <v>2868</v>
      </c>
      <c r="I770" t="s">
        <v>2869</v>
      </c>
    </row>
    <row r="771" spans="8:9" x14ac:dyDescent="0.25">
      <c r="H771" t="s">
        <v>2870</v>
      </c>
      <c r="I771" t="s">
        <v>2871</v>
      </c>
    </row>
    <row r="772" spans="8:9" x14ac:dyDescent="0.25">
      <c r="H772" t="s">
        <v>2872</v>
      </c>
      <c r="I772" t="s">
        <v>2873</v>
      </c>
    </row>
    <row r="773" spans="8:9" x14ac:dyDescent="0.25">
      <c r="H773" t="s">
        <v>2874</v>
      </c>
      <c r="I773" t="s">
        <v>2875</v>
      </c>
    </row>
    <row r="774" spans="8:9" x14ac:dyDescent="0.25">
      <c r="H774" t="s">
        <v>2876</v>
      </c>
      <c r="I774" t="s">
        <v>2877</v>
      </c>
    </row>
    <row r="775" spans="8:9" x14ac:dyDescent="0.25">
      <c r="H775" t="s">
        <v>2878</v>
      </c>
      <c r="I775" t="s">
        <v>2879</v>
      </c>
    </row>
    <row r="776" spans="8:9" x14ac:dyDescent="0.25">
      <c r="H776" t="s">
        <v>2880</v>
      </c>
      <c r="I776" t="s">
        <v>2881</v>
      </c>
    </row>
    <row r="777" spans="8:9" x14ac:dyDescent="0.25">
      <c r="H777" t="s">
        <v>2882</v>
      </c>
      <c r="I777" t="s">
        <v>2883</v>
      </c>
    </row>
    <row r="778" spans="8:9" x14ac:dyDescent="0.25">
      <c r="H778" t="s">
        <v>2884</v>
      </c>
      <c r="I778" t="s">
        <v>2885</v>
      </c>
    </row>
    <row r="779" spans="8:9" x14ac:dyDescent="0.25">
      <c r="H779" t="s">
        <v>2886</v>
      </c>
      <c r="I779" t="s">
        <v>2841</v>
      </c>
    </row>
    <row r="780" spans="8:9" x14ac:dyDescent="0.25">
      <c r="H780" t="s">
        <v>2887</v>
      </c>
      <c r="I780" t="s">
        <v>2843</v>
      </c>
    </row>
    <row r="781" spans="8:9" x14ac:dyDescent="0.25">
      <c r="H781" t="s">
        <v>2888</v>
      </c>
      <c r="I781" t="s">
        <v>2889</v>
      </c>
    </row>
    <row r="782" spans="8:9" x14ac:dyDescent="0.25">
      <c r="H782" t="s">
        <v>2890</v>
      </c>
      <c r="I782" t="s">
        <v>2891</v>
      </c>
    </row>
    <row r="783" spans="8:9" x14ac:dyDescent="0.25">
      <c r="H783" t="s">
        <v>2892</v>
      </c>
      <c r="I783" t="s">
        <v>2871</v>
      </c>
    </row>
    <row r="784" spans="8:9" x14ac:dyDescent="0.25">
      <c r="H784" t="s">
        <v>2893</v>
      </c>
      <c r="I784" t="s">
        <v>2894</v>
      </c>
    </row>
    <row r="785" spans="8:9" x14ac:dyDescent="0.25">
      <c r="H785" t="s">
        <v>2895</v>
      </c>
      <c r="I785" t="s">
        <v>2896</v>
      </c>
    </row>
    <row r="786" spans="8:9" x14ac:dyDescent="0.25">
      <c r="H786" t="s">
        <v>2897</v>
      </c>
      <c r="I786" t="s">
        <v>2898</v>
      </c>
    </row>
    <row r="787" spans="8:9" x14ac:dyDescent="0.25">
      <c r="H787" t="s">
        <v>2899</v>
      </c>
      <c r="I787" t="s">
        <v>2900</v>
      </c>
    </row>
    <row r="788" spans="8:9" x14ac:dyDescent="0.25">
      <c r="H788" t="s">
        <v>2901</v>
      </c>
      <c r="I788" t="s">
        <v>2881</v>
      </c>
    </row>
    <row r="789" spans="8:9" x14ac:dyDescent="0.25">
      <c r="H789" t="s">
        <v>2902</v>
      </c>
      <c r="I789" t="s">
        <v>2903</v>
      </c>
    </row>
    <row r="790" spans="8:9" x14ac:dyDescent="0.25">
      <c r="H790" t="s">
        <v>2904</v>
      </c>
      <c r="I790" t="s">
        <v>2885</v>
      </c>
    </row>
    <row r="791" spans="8:9" x14ac:dyDescent="0.25">
      <c r="H791" t="s">
        <v>2905</v>
      </c>
      <c r="I791" t="s">
        <v>2845</v>
      </c>
    </row>
    <row r="792" spans="8:9" x14ac:dyDescent="0.25">
      <c r="H792" t="s">
        <v>2906</v>
      </c>
      <c r="I792" t="s">
        <v>2907</v>
      </c>
    </row>
    <row r="793" spans="8:9" x14ac:dyDescent="0.25">
      <c r="H793" t="s">
        <v>2908</v>
      </c>
      <c r="I793" t="s">
        <v>2847</v>
      </c>
    </row>
    <row r="794" spans="8:9" x14ac:dyDescent="0.25">
      <c r="H794" t="s">
        <v>2909</v>
      </c>
      <c r="I794" t="s">
        <v>2910</v>
      </c>
    </row>
    <row r="795" spans="8:9" x14ac:dyDescent="0.25">
      <c r="H795" t="s">
        <v>2911</v>
      </c>
      <c r="I795" t="s">
        <v>2849</v>
      </c>
    </row>
    <row r="796" spans="8:9" x14ac:dyDescent="0.25">
      <c r="H796" t="s">
        <v>2912</v>
      </c>
      <c r="I796" t="s">
        <v>2851</v>
      </c>
    </row>
    <row r="797" spans="8:9" x14ac:dyDescent="0.25">
      <c r="H797" t="s">
        <v>2913</v>
      </c>
      <c r="I797" t="s">
        <v>2853</v>
      </c>
    </row>
    <row r="798" spans="8:9" x14ac:dyDescent="0.25">
      <c r="H798" t="s">
        <v>2914</v>
      </c>
      <c r="I798" t="s">
        <v>2915</v>
      </c>
    </row>
    <row r="799" spans="8:9" x14ac:dyDescent="0.25">
      <c r="H799" t="s">
        <v>2916</v>
      </c>
      <c r="I799" t="s">
        <v>2898</v>
      </c>
    </row>
    <row r="800" spans="8:9" x14ac:dyDescent="0.25">
      <c r="H800" t="s">
        <v>2917</v>
      </c>
      <c r="I800" t="s">
        <v>2918</v>
      </c>
    </row>
    <row r="801" spans="8:9" x14ac:dyDescent="0.25">
      <c r="H801" t="s">
        <v>2919</v>
      </c>
      <c r="I801" t="s">
        <v>2920</v>
      </c>
    </row>
    <row r="802" spans="8:9" x14ac:dyDescent="0.25">
      <c r="H802" t="s">
        <v>2921</v>
      </c>
      <c r="I802" t="s">
        <v>2922</v>
      </c>
    </row>
    <row r="803" spans="8:9" x14ac:dyDescent="0.25">
      <c r="H803" t="s">
        <v>2923</v>
      </c>
      <c r="I803" t="s">
        <v>2924</v>
      </c>
    </row>
    <row r="804" spans="8:9" x14ac:dyDescent="0.25">
      <c r="H804" t="s">
        <v>2925</v>
      </c>
      <c r="I804" t="s">
        <v>2926</v>
      </c>
    </row>
    <row r="805" spans="8:9" x14ac:dyDescent="0.25">
      <c r="H805" t="s">
        <v>2927</v>
      </c>
      <c r="I805" t="s">
        <v>2928</v>
      </c>
    </row>
    <row r="806" spans="8:9" x14ac:dyDescent="0.25">
      <c r="H806" t="s">
        <v>2929</v>
      </c>
      <c r="I806" t="s">
        <v>2855</v>
      </c>
    </row>
    <row r="807" spans="8:9" x14ac:dyDescent="0.25">
      <c r="H807" t="s">
        <v>2930</v>
      </c>
      <c r="I807" t="s">
        <v>2857</v>
      </c>
    </row>
    <row r="808" spans="8:9" x14ac:dyDescent="0.25">
      <c r="H808" t="s">
        <v>2931</v>
      </c>
      <c r="I808" t="s">
        <v>2859</v>
      </c>
    </row>
    <row r="809" spans="8:9" x14ac:dyDescent="0.25">
      <c r="H809" t="s">
        <v>2932</v>
      </c>
      <c r="I809" t="s">
        <v>2933</v>
      </c>
    </row>
    <row r="810" spans="8:9" x14ac:dyDescent="0.25">
      <c r="H810" t="s">
        <v>2934</v>
      </c>
      <c r="I810" t="s">
        <v>2861</v>
      </c>
    </row>
    <row r="811" spans="8:9" x14ac:dyDescent="0.25">
      <c r="H811" t="s">
        <v>2935</v>
      </c>
      <c r="I811" t="s">
        <v>2936</v>
      </c>
    </row>
    <row r="812" spans="8:9" x14ac:dyDescent="0.25">
      <c r="H812" t="s">
        <v>2937</v>
      </c>
      <c r="I812" t="s">
        <v>2938</v>
      </c>
    </row>
    <row r="813" spans="8:9" x14ac:dyDescent="0.25">
      <c r="H813" t="s">
        <v>2939</v>
      </c>
      <c r="I813" t="s">
        <v>2940</v>
      </c>
    </row>
    <row r="814" spans="8:9" x14ac:dyDescent="0.25">
      <c r="H814" t="s">
        <v>2941</v>
      </c>
      <c r="I814" t="s">
        <v>2942</v>
      </c>
    </row>
    <row r="815" spans="8:9" x14ac:dyDescent="0.25">
      <c r="H815" t="s">
        <v>2943</v>
      </c>
      <c r="I815" t="s">
        <v>2944</v>
      </c>
    </row>
    <row r="816" spans="8:9" x14ac:dyDescent="0.25">
      <c r="H816" t="s">
        <v>2945</v>
      </c>
      <c r="I816" t="s">
        <v>2946</v>
      </c>
    </row>
    <row r="817" spans="8:9" x14ac:dyDescent="0.25">
      <c r="H817" t="s">
        <v>2947</v>
      </c>
      <c r="I817" t="s">
        <v>2948</v>
      </c>
    </row>
    <row r="818" spans="8:9" x14ac:dyDescent="0.25">
      <c r="H818" t="s">
        <v>2949</v>
      </c>
      <c r="I818" t="s">
        <v>2950</v>
      </c>
    </row>
    <row r="819" spans="8:9" x14ac:dyDescent="0.25">
      <c r="H819" t="s">
        <v>2951</v>
      </c>
      <c r="I819" t="s">
        <v>2952</v>
      </c>
    </row>
    <row r="820" spans="8:9" x14ac:dyDescent="0.25">
      <c r="H820" t="s">
        <v>2953</v>
      </c>
      <c r="I820" t="s">
        <v>2954</v>
      </c>
    </row>
    <row r="821" spans="8:9" x14ac:dyDescent="0.25">
      <c r="H821" t="s">
        <v>2955</v>
      </c>
      <c r="I821" t="s">
        <v>2956</v>
      </c>
    </row>
    <row r="822" spans="8:9" x14ac:dyDescent="0.25">
      <c r="H822" t="s">
        <v>2957</v>
      </c>
      <c r="I822" t="s">
        <v>2958</v>
      </c>
    </row>
    <row r="823" spans="8:9" x14ac:dyDescent="0.25">
      <c r="H823" t="s">
        <v>2959</v>
      </c>
      <c r="I823" t="s">
        <v>2960</v>
      </c>
    </row>
    <row r="824" spans="8:9" x14ac:dyDescent="0.25">
      <c r="H824" t="s">
        <v>2961</v>
      </c>
      <c r="I824" t="s">
        <v>2962</v>
      </c>
    </row>
    <row r="825" spans="8:9" x14ac:dyDescent="0.25">
      <c r="H825" t="s">
        <v>2963</v>
      </c>
      <c r="I825" t="s">
        <v>2964</v>
      </c>
    </row>
    <row r="826" spans="8:9" x14ac:dyDescent="0.25">
      <c r="H826" t="s">
        <v>2965</v>
      </c>
      <c r="I826" t="s">
        <v>2966</v>
      </c>
    </row>
    <row r="827" spans="8:9" x14ac:dyDescent="0.25">
      <c r="H827" t="s">
        <v>2967</v>
      </c>
      <c r="I827" t="s">
        <v>2968</v>
      </c>
    </row>
    <row r="828" spans="8:9" x14ac:dyDescent="0.25">
      <c r="H828" t="s">
        <v>2969</v>
      </c>
      <c r="I828" t="s">
        <v>2970</v>
      </c>
    </row>
    <row r="829" spans="8:9" x14ac:dyDescent="0.25">
      <c r="H829" t="s">
        <v>2971</v>
      </c>
      <c r="I829" t="s">
        <v>2972</v>
      </c>
    </row>
    <row r="830" spans="8:9" x14ac:dyDescent="0.25">
      <c r="H830" t="s">
        <v>2973</v>
      </c>
      <c r="I830" t="s">
        <v>2974</v>
      </c>
    </row>
    <row r="831" spans="8:9" x14ac:dyDescent="0.25">
      <c r="H831" t="s">
        <v>2975</v>
      </c>
      <c r="I831" t="s">
        <v>2976</v>
      </c>
    </row>
    <row r="832" spans="8:9" x14ac:dyDescent="0.25">
      <c r="H832" t="s">
        <v>2977</v>
      </c>
      <c r="I832" t="s">
        <v>2978</v>
      </c>
    </row>
    <row r="833" spans="8:9" x14ac:dyDescent="0.25">
      <c r="H833" t="s">
        <v>2979</v>
      </c>
      <c r="I833" t="s">
        <v>2980</v>
      </c>
    </row>
    <row r="834" spans="8:9" x14ac:dyDescent="0.25">
      <c r="H834" t="s">
        <v>2981</v>
      </c>
      <c r="I834" t="s">
        <v>2982</v>
      </c>
    </row>
    <row r="835" spans="8:9" x14ac:dyDescent="0.25">
      <c r="H835" t="s">
        <v>2983</v>
      </c>
      <c r="I835" t="s">
        <v>2984</v>
      </c>
    </row>
    <row r="836" spans="8:9" x14ac:dyDescent="0.25">
      <c r="H836" t="s">
        <v>2985</v>
      </c>
      <c r="I836" t="s">
        <v>2986</v>
      </c>
    </row>
    <row r="837" spans="8:9" x14ac:dyDescent="0.25">
      <c r="H837" t="s">
        <v>2987</v>
      </c>
      <c r="I837" t="s">
        <v>2988</v>
      </c>
    </row>
    <row r="838" spans="8:9" x14ac:dyDescent="0.25">
      <c r="H838" t="s">
        <v>2989</v>
      </c>
      <c r="I838" t="s">
        <v>2990</v>
      </c>
    </row>
    <row r="839" spans="8:9" x14ac:dyDescent="0.25">
      <c r="H839" t="s">
        <v>2991</v>
      </c>
      <c r="I839" t="s">
        <v>2992</v>
      </c>
    </row>
    <row r="840" spans="8:9" x14ac:dyDescent="0.25">
      <c r="H840" t="s">
        <v>2993</v>
      </c>
      <c r="I840" t="s">
        <v>2994</v>
      </c>
    </row>
    <row r="841" spans="8:9" x14ac:dyDescent="0.25">
      <c r="H841" t="s">
        <v>2995</v>
      </c>
      <c r="I841" t="s">
        <v>2996</v>
      </c>
    </row>
    <row r="842" spans="8:9" x14ac:dyDescent="0.25">
      <c r="H842" t="s">
        <v>2997</v>
      </c>
      <c r="I842" t="s">
        <v>2998</v>
      </c>
    </row>
    <row r="843" spans="8:9" x14ac:dyDescent="0.25">
      <c r="H843" t="s">
        <v>2999</v>
      </c>
      <c r="I843" t="s">
        <v>3000</v>
      </c>
    </row>
    <row r="844" spans="8:9" x14ac:dyDescent="0.25">
      <c r="H844" t="s">
        <v>3001</v>
      </c>
      <c r="I844" t="s">
        <v>3002</v>
      </c>
    </row>
    <row r="845" spans="8:9" x14ac:dyDescent="0.25">
      <c r="H845" t="s">
        <v>3003</v>
      </c>
      <c r="I845" t="s">
        <v>3004</v>
      </c>
    </row>
    <row r="846" spans="8:9" x14ac:dyDescent="0.25">
      <c r="H846" t="s">
        <v>3005</v>
      </c>
      <c r="I846" t="s">
        <v>3006</v>
      </c>
    </row>
    <row r="847" spans="8:9" x14ac:dyDescent="0.25">
      <c r="H847" t="s">
        <v>3007</v>
      </c>
      <c r="I847" t="s">
        <v>3008</v>
      </c>
    </row>
    <row r="848" spans="8:9" x14ac:dyDescent="0.25">
      <c r="H848" t="s">
        <v>3009</v>
      </c>
      <c r="I848" t="s">
        <v>3010</v>
      </c>
    </row>
    <row r="849" spans="8:9" x14ac:dyDescent="0.25">
      <c r="H849" t="s">
        <v>3011</v>
      </c>
      <c r="I849" t="s">
        <v>3012</v>
      </c>
    </row>
    <row r="850" spans="8:9" x14ac:dyDescent="0.25">
      <c r="H850" t="s">
        <v>3013</v>
      </c>
      <c r="I850" t="s">
        <v>3014</v>
      </c>
    </row>
    <row r="851" spans="8:9" x14ac:dyDescent="0.25">
      <c r="H851" t="s">
        <v>3015</v>
      </c>
      <c r="I851" t="s">
        <v>3016</v>
      </c>
    </row>
    <row r="852" spans="8:9" x14ac:dyDescent="0.25">
      <c r="H852" t="s">
        <v>3017</v>
      </c>
      <c r="I852" t="s">
        <v>3018</v>
      </c>
    </row>
    <row r="853" spans="8:9" x14ac:dyDescent="0.25">
      <c r="H853" t="s">
        <v>3019</v>
      </c>
      <c r="I853" t="s">
        <v>3020</v>
      </c>
    </row>
    <row r="854" spans="8:9" x14ac:dyDescent="0.25">
      <c r="H854" t="s">
        <v>3021</v>
      </c>
      <c r="I854" t="s">
        <v>3022</v>
      </c>
    </row>
    <row r="855" spans="8:9" x14ac:dyDescent="0.25">
      <c r="H855" t="s">
        <v>3023</v>
      </c>
      <c r="I855" t="s">
        <v>3024</v>
      </c>
    </row>
    <row r="856" spans="8:9" x14ac:dyDescent="0.25">
      <c r="H856" t="s">
        <v>3025</v>
      </c>
      <c r="I856" t="s">
        <v>3026</v>
      </c>
    </row>
    <row r="857" spans="8:9" x14ac:dyDescent="0.25">
      <c r="H857" t="s">
        <v>3027</v>
      </c>
      <c r="I857" t="s">
        <v>3028</v>
      </c>
    </row>
    <row r="858" spans="8:9" x14ac:dyDescent="0.25">
      <c r="H858" t="s">
        <v>3029</v>
      </c>
      <c r="I858" t="s">
        <v>3030</v>
      </c>
    </row>
    <row r="859" spans="8:9" x14ac:dyDescent="0.25">
      <c r="H859" t="s">
        <v>3031</v>
      </c>
      <c r="I859" t="s">
        <v>3032</v>
      </c>
    </row>
    <row r="860" spans="8:9" x14ac:dyDescent="0.25">
      <c r="H860" t="s">
        <v>3033</v>
      </c>
      <c r="I860" t="s">
        <v>3034</v>
      </c>
    </row>
    <row r="861" spans="8:9" x14ac:dyDescent="0.25">
      <c r="H861" t="s">
        <v>3035</v>
      </c>
      <c r="I861" t="s">
        <v>3036</v>
      </c>
    </row>
    <row r="862" spans="8:9" x14ac:dyDescent="0.25">
      <c r="H862" t="s">
        <v>1007</v>
      </c>
      <c r="I862" t="s">
        <v>3037</v>
      </c>
    </row>
    <row r="863" spans="8:9" x14ac:dyDescent="0.25">
      <c r="H863" t="s">
        <v>3038</v>
      </c>
      <c r="I863" t="s">
        <v>3039</v>
      </c>
    </row>
    <row r="864" spans="8:9" x14ac:dyDescent="0.25">
      <c r="H864" t="s">
        <v>3040</v>
      </c>
      <c r="I864" t="s">
        <v>3041</v>
      </c>
    </row>
    <row r="865" spans="8:10" x14ac:dyDescent="0.25">
      <c r="H865" t="s">
        <v>3042</v>
      </c>
      <c r="I865" t="s">
        <v>3043</v>
      </c>
    </row>
    <row r="866" spans="8:10" x14ac:dyDescent="0.25">
      <c r="H866" t="s">
        <v>3044</v>
      </c>
      <c r="I866" t="s">
        <v>3045</v>
      </c>
    </row>
    <row r="867" spans="8:10" x14ac:dyDescent="0.25">
      <c r="H867" t="s">
        <v>3046</v>
      </c>
      <c r="I867" t="s">
        <v>3047</v>
      </c>
    </row>
    <row r="868" spans="8:10" x14ac:dyDescent="0.25">
      <c r="H868" t="s">
        <v>3048</v>
      </c>
      <c r="I868" t="s">
        <v>3049</v>
      </c>
    </row>
    <row r="869" spans="8:10" x14ac:dyDescent="0.25">
      <c r="H869" t="s">
        <v>3050</v>
      </c>
      <c r="I869" t="s">
        <v>3051</v>
      </c>
      <c r="J869" t="s">
        <v>1847</v>
      </c>
    </row>
    <row r="870" spans="8:10" x14ac:dyDescent="0.25">
      <c r="H870" t="s">
        <v>3052</v>
      </c>
      <c r="I870" t="s">
        <v>3053</v>
      </c>
      <c r="J870" t="s">
        <v>1847</v>
      </c>
    </row>
    <row r="871" spans="8:10" x14ac:dyDescent="0.25">
      <c r="H871" t="s">
        <v>3054</v>
      </c>
      <c r="I871" t="s">
        <v>3055</v>
      </c>
      <c r="J871" t="s">
        <v>1847</v>
      </c>
    </row>
    <row r="872" spans="8:10" x14ac:dyDescent="0.25">
      <c r="H872" t="s">
        <v>3056</v>
      </c>
      <c r="I872" t="s">
        <v>3057</v>
      </c>
      <c r="J872" t="s">
        <v>1847</v>
      </c>
    </row>
    <row r="873" spans="8:10" x14ac:dyDescent="0.25">
      <c r="H873" t="s">
        <v>3058</v>
      </c>
      <c r="I873" t="s">
        <v>3059</v>
      </c>
    </row>
    <row r="874" spans="8:10" x14ac:dyDescent="0.25">
      <c r="H874" t="s">
        <v>3060</v>
      </c>
      <c r="I874" t="s">
        <v>3061</v>
      </c>
    </row>
    <row r="875" spans="8:10" x14ac:dyDescent="0.25">
      <c r="H875" t="s">
        <v>3062</v>
      </c>
      <c r="I875" t="s">
        <v>3063</v>
      </c>
    </row>
    <row r="876" spans="8:10" x14ac:dyDescent="0.25">
      <c r="H876" t="s">
        <v>3064</v>
      </c>
      <c r="I876" t="s">
        <v>3065</v>
      </c>
    </row>
    <row r="877" spans="8:10" x14ac:dyDescent="0.25">
      <c r="H877" t="s">
        <v>3066</v>
      </c>
      <c r="I877" t="s">
        <v>3067</v>
      </c>
    </row>
    <row r="878" spans="8:10" x14ac:dyDescent="0.25">
      <c r="H878" t="s">
        <v>3068</v>
      </c>
      <c r="I878" t="s">
        <v>3069</v>
      </c>
    </row>
    <row r="879" spans="8:10" x14ac:dyDescent="0.25">
      <c r="H879" t="s">
        <v>3070</v>
      </c>
      <c r="I879" t="s">
        <v>3071</v>
      </c>
    </row>
    <row r="880" spans="8:10" x14ac:dyDescent="0.25">
      <c r="H880" t="s">
        <v>3072</v>
      </c>
      <c r="I880" t="s">
        <v>3073</v>
      </c>
    </row>
    <row r="881" spans="8:9" x14ac:dyDescent="0.25">
      <c r="H881" t="s">
        <v>3074</v>
      </c>
      <c r="I881" t="s">
        <v>3075</v>
      </c>
    </row>
    <row r="882" spans="8:9" x14ac:dyDescent="0.25">
      <c r="H882" t="s">
        <v>3076</v>
      </c>
      <c r="I882" t="s">
        <v>3077</v>
      </c>
    </row>
    <row r="883" spans="8:9" x14ac:dyDescent="0.25">
      <c r="H883" t="s">
        <v>3078</v>
      </c>
      <c r="I883" t="s">
        <v>3079</v>
      </c>
    </row>
    <row r="884" spans="8:9" x14ac:dyDescent="0.25">
      <c r="H884" t="s">
        <v>3080</v>
      </c>
      <c r="I884" t="s">
        <v>3081</v>
      </c>
    </row>
    <row r="885" spans="8:9" x14ac:dyDescent="0.25">
      <c r="H885" t="s">
        <v>3082</v>
      </c>
      <c r="I885" t="s">
        <v>3083</v>
      </c>
    </row>
    <row r="886" spans="8:9" x14ac:dyDescent="0.25">
      <c r="H886" t="s">
        <v>3084</v>
      </c>
      <c r="I886" t="s">
        <v>3085</v>
      </c>
    </row>
    <row r="887" spans="8:9" x14ac:dyDescent="0.25">
      <c r="H887" t="s">
        <v>3086</v>
      </c>
      <c r="I887" t="s">
        <v>3087</v>
      </c>
    </row>
    <row r="888" spans="8:9" x14ac:dyDescent="0.25">
      <c r="H888" t="s">
        <v>3088</v>
      </c>
      <c r="I888" t="s">
        <v>3089</v>
      </c>
    </row>
    <row r="889" spans="8:9" x14ac:dyDescent="0.25">
      <c r="H889" t="s">
        <v>3090</v>
      </c>
      <c r="I889" t="s">
        <v>3091</v>
      </c>
    </row>
    <row r="890" spans="8:9" x14ac:dyDescent="0.25">
      <c r="H890" t="s">
        <v>3092</v>
      </c>
      <c r="I890" t="s">
        <v>3093</v>
      </c>
    </row>
    <row r="891" spans="8:9" x14ac:dyDescent="0.25">
      <c r="H891" t="s">
        <v>3094</v>
      </c>
      <c r="I891" t="s">
        <v>3095</v>
      </c>
    </row>
    <row r="892" spans="8:9" x14ac:dyDescent="0.25">
      <c r="H892" t="s">
        <v>3096</v>
      </c>
      <c r="I892" t="s">
        <v>3097</v>
      </c>
    </row>
    <row r="893" spans="8:9" x14ac:dyDescent="0.25">
      <c r="H893" t="s">
        <v>3098</v>
      </c>
      <c r="I893" t="s">
        <v>3099</v>
      </c>
    </row>
    <row r="894" spans="8:9" x14ac:dyDescent="0.25">
      <c r="H894" t="s">
        <v>3100</v>
      </c>
      <c r="I894" t="s">
        <v>3101</v>
      </c>
    </row>
    <row r="895" spans="8:9" x14ac:dyDescent="0.25">
      <c r="H895" t="s">
        <v>3102</v>
      </c>
      <c r="I895" t="s">
        <v>3103</v>
      </c>
    </row>
    <row r="896" spans="8:9" x14ac:dyDescent="0.25">
      <c r="H896" t="s">
        <v>3104</v>
      </c>
      <c r="I896" t="s">
        <v>3105</v>
      </c>
    </row>
    <row r="897" spans="8:9" x14ac:dyDescent="0.25">
      <c r="H897" t="s">
        <v>3106</v>
      </c>
      <c r="I897" t="s">
        <v>3107</v>
      </c>
    </row>
    <row r="898" spans="8:9" x14ac:dyDescent="0.25">
      <c r="H898" t="s">
        <v>3108</v>
      </c>
      <c r="I898" t="s">
        <v>3109</v>
      </c>
    </row>
    <row r="899" spans="8:9" x14ac:dyDescent="0.25">
      <c r="H899" t="s">
        <v>3110</v>
      </c>
      <c r="I899" t="s">
        <v>3109</v>
      </c>
    </row>
    <row r="900" spans="8:9" x14ac:dyDescent="0.25">
      <c r="H900" t="s">
        <v>3111</v>
      </c>
      <c r="I900" t="s">
        <v>3112</v>
      </c>
    </row>
    <row r="901" spans="8:9" x14ac:dyDescent="0.25">
      <c r="H901" t="s">
        <v>3113</v>
      </c>
      <c r="I901" t="s">
        <v>3114</v>
      </c>
    </row>
    <row r="902" spans="8:9" x14ac:dyDescent="0.25">
      <c r="H902" t="s">
        <v>3115</v>
      </c>
      <c r="I902" t="s">
        <v>3116</v>
      </c>
    </row>
    <row r="903" spans="8:9" x14ac:dyDescent="0.25">
      <c r="H903" t="s">
        <v>3117</v>
      </c>
      <c r="I903" t="s">
        <v>3118</v>
      </c>
    </row>
    <row r="904" spans="8:9" x14ac:dyDescent="0.25">
      <c r="H904" t="s">
        <v>3119</v>
      </c>
      <c r="I904" t="s">
        <v>3120</v>
      </c>
    </row>
    <row r="905" spans="8:9" x14ac:dyDescent="0.25">
      <c r="H905" t="s">
        <v>3121</v>
      </c>
      <c r="I905" t="s">
        <v>3122</v>
      </c>
    </row>
    <row r="906" spans="8:9" x14ac:dyDescent="0.25">
      <c r="H906" t="s">
        <v>3123</v>
      </c>
      <c r="I906" t="s">
        <v>3124</v>
      </c>
    </row>
    <row r="907" spans="8:9" x14ac:dyDescent="0.25">
      <c r="H907" t="s">
        <v>3125</v>
      </c>
      <c r="I907" t="s">
        <v>3124</v>
      </c>
    </row>
    <row r="908" spans="8:9" x14ac:dyDescent="0.25">
      <c r="H908" t="s">
        <v>3126</v>
      </c>
      <c r="I908" t="s">
        <v>3127</v>
      </c>
    </row>
    <row r="909" spans="8:9" x14ac:dyDescent="0.25">
      <c r="H909" t="s">
        <v>3128</v>
      </c>
      <c r="I909" t="s">
        <v>3129</v>
      </c>
    </row>
    <row r="910" spans="8:9" x14ac:dyDescent="0.25">
      <c r="H910" t="s">
        <v>3130</v>
      </c>
      <c r="I910" t="s">
        <v>3131</v>
      </c>
    </row>
    <row r="911" spans="8:9" x14ac:dyDescent="0.25">
      <c r="H911" t="s">
        <v>3132</v>
      </c>
      <c r="I911" t="s">
        <v>3133</v>
      </c>
    </row>
    <row r="912" spans="8:9" x14ac:dyDescent="0.25">
      <c r="H912" t="s">
        <v>3134</v>
      </c>
      <c r="I912" t="s">
        <v>3135</v>
      </c>
    </row>
    <row r="913" spans="8:10" x14ac:dyDescent="0.25">
      <c r="H913" t="s">
        <v>3136</v>
      </c>
      <c r="I913" t="s">
        <v>3137</v>
      </c>
    </row>
    <row r="914" spans="8:10" x14ac:dyDescent="0.25">
      <c r="H914" t="s">
        <v>3138</v>
      </c>
      <c r="I914" t="s">
        <v>3139</v>
      </c>
    </row>
    <row r="915" spans="8:10" x14ac:dyDescent="0.25">
      <c r="H915" t="s">
        <v>1005</v>
      </c>
      <c r="I915" t="s">
        <v>3127</v>
      </c>
    </row>
    <row r="916" spans="8:10" x14ac:dyDescent="0.25">
      <c r="H916" t="s">
        <v>3140</v>
      </c>
      <c r="I916" t="s">
        <v>3141</v>
      </c>
    </row>
    <row r="917" spans="8:10" x14ac:dyDescent="0.25">
      <c r="H917" t="s">
        <v>3142</v>
      </c>
      <c r="I917" t="s">
        <v>3143</v>
      </c>
      <c r="J917" t="s">
        <v>3144</v>
      </c>
    </row>
    <row r="918" spans="8:10" x14ac:dyDescent="0.25">
      <c r="H918" t="s">
        <v>3145</v>
      </c>
      <c r="I918" t="s">
        <v>3146</v>
      </c>
      <c r="J918" t="s">
        <v>1403</v>
      </c>
    </row>
    <row r="919" spans="8:10" x14ac:dyDescent="0.25">
      <c r="H919" t="s">
        <v>3147</v>
      </c>
      <c r="I919" t="s">
        <v>3146</v>
      </c>
      <c r="J919" t="s">
        <v>1403</v>
      </c>
    </row>
    <row r="920" spans="8:10" x14ac:dyDescent="0.25">
      <c r="H920" t="s">
        <v>3148</v>
      </c>
      <c r="I920" t="s">
        <v>3149</v>
      </c>
      <c r="J920" t="s">
        <v>1403</v>
      </c>
    </row>
    <row r="921" spans="8:10" x14ac:dyDescent="0.25">
      <c r="H921" t="s">
        <v>3150</v>
      </c>
      <c r="I921" t="s">
        <v>3151</v>
      </c>
      <c r="J921" t="s">
        <v>1403</v>
      </c>
    </row>
    <row r="922" spans="8:10" x14ac:dyDescent="0.25">
      <c r="H922" t="s">
        <v>3152</v>
      </c>
      <c r="I922" t="s">
        <v>3153</v>
      </c>
    </row>
    <row r="923" spans="8:10" x14ac:dyDescent="0.25">
      <c r="H923" t="s">
        <v>3154</v>
      </c>
      <c r="I923" t="s">
        <v>3155</v>
      </c>
      <c r="J923" t="s">
        <v>3144</v>
      </c>
    </row>
    <row r="924" spans="8:10" x14ac:dyDescent="0.25">
      <c r="H924" t="s">
        <v>3156</v>
      </c>
      <c r="I924" t="s">
        <v>3157</v>
      </c>
      <c r="J924" t="s">
        <v>3144</v>
      </c>
    </row>
    <row r="925" spans="8:10" x14ac:dyDescent="0.25">
      <c r="H925" t="s">
        <v>3158</v>
      </c>
      <c r="I925" t="s">
        <v>3159</v>
      </c>
    </row>
    <row r="926" spans="8:10" x14ac:dyDescent="0.25">
      <c r="H926" t="s">
        <v>3160</v>
      </c>
      <c r="I926" t="s">
        <v>3161</v>
      </c>
    </row>
    <row r="927" spans="8:10" x14ac:dyDescent="0.25">
      <c r="H927" t="s">
        <v>3162</v>
      </c>
      <c r="I927" t="s">
        <v>3163</v>
      </c>
    </row>
    <row r="928" spans="8:10" x14ac:dyDescent="0.25">
      <c r="H928" t="s">
        <v>3164</v>
      </c>
      <c r="I928" t="s">
        <v>3165</v>
      </c>
    </row>
    <row r="929" spans="8:10" x14ac:dyDescent="0.25">
      <c r="H929" t="s">
        <v>946</v>
      </c>
      <c r="I929" t="s">
        <v>3166</v>
      </c>
    </row>
    <row r="930" spans="8:10" x14ac:dyDescent="0.25">
      <c r="H930" t="s">
        <v>3167</v>
      </c>
      <c r="I930" t="s">
        <v>3166</v>
      </c>
    </row>
    <row r="931" spans="8:10" x14ac:dyDescent="0.25">
      <c r="H931" t="s">
        <v>1047</v>
      </c>
      <c r="I931" t="s">
        <v>3168</v>
      </c>
    </row>
    <row r="932" spans="8:10" x14ac:dyDescent="0.25">
      <c r="H932" t="s">
        <v>3169</v>
      </c>
      <c r="I932" t="s">
        <v>3168</v>
      </c>
    </row>
    <row r="933" spans="8:10" x14ac:dyDescent="0.25">
      <c r="H933" t="s">
        <v>3170</v>
      </c>
      <c r="I933" t="s">
        <v>3171</v>
      </c>
      <c r="J933" t="s">
        <v>1847</v>
      </c>
    </row>
    <row r="934" spans="8:10" x14ac:dyDescent="0.25">
      <c r="H934" t="s">
        <v>3172</v>
      </c>
      <c r="I934" t="s">
        <v>3173</v>
      </c>
    </row>
    <row r="935" spans="8:10" x14ac:dyDescent="0.25">
      <c r="H935" t="s">
        <v>3174</v>
      </c>
      <c r="I935" t="s">
        <v>3175</v>
      </c>
    </row>
    <row r="936" spans="8:10" x14ac:dyDescent="0.25">
      <c r="H936" t="s">
        <v>3176</v>
      </c>
      <c r="I936" t="s">
        <v>3177</v>
      </c>
    </row>
    <row r="937" spans="8:10" x14ac:dyDescent="0.25">
      <c r="H937" t="s">
        <v>3178</v>
      </c>
      <c r="I937" t="s">
        <v>3179</v>
      </c>
    </row>
    <row r="938" spans="8:10" x14ac:dyDescent="0.25">
      <c r="H938" t="s">
        <v>3180</v>
      </c>
      <c r="I938" t="s">
        <v>3181</v>
      </c>
    </row>
    <row r="939" spans="8:10" x14ac:dyDescent="0.25">
      <c r="H939" t="s">
        <v>3182</v>
      </c>
      <c r="I939" t="s">
        <v>3183</v>
      </c>
    </row>
    <row r="940" spans="8:10" x14ac:dyDescent="0.25">
      <c r="H940" t="s">
        <v>3184</v>
      </c>
      <c r="I940" t="s">
        <v>3185</v>
      </c>
    </row>
    <row r="941" spans="8:10" x14ac:dyDescent="0.25">
      <c r="H941" t="s">
        <v>3186</v>
      </c>
      <c r="I941" t="s">
        <v>3187</v>
      </c>
    </row>
    <row r="942" spans="8:10" x14ac:dyDescent="0.25">
      <c r="H942" t="s">
        <v>3188</v>
      </c>
      <c r="I942" t="s">
        <v>3187</v>
      </c>
    </row>
    <row r="943" spans="8:10" x14ac:dyDescent="0.25">
      <c r="H943" t="s">
        <v>3189</v>
      </c>
      <c r="I943" t="s">
        <v>3190</v>
      </c>
    </row>
    <row r="944" spans="8:10" x14ac:dyDescent="0.25">
      <c r="H944" t="s">
        <v>3191</v>
      </c>
      <c r="I944" t="s">
        <v>3190</v>
      </c>
    </row>
    <row r="945" spans="8:9" x14ac:dyDescent="0.25">
      <c r="H945" t="s">
        <v>3192</v>
      </c>
      <c r="I945" t="s">
        <v>3193</v>
      </c>
    </row>
    <row r="946" spans="8:9" x14ac:dyDescent="0.25">
      <c r="H946" t="s">
        <v>463</v>
      </c>
      <c r="I946" t="s">
        <v>3190</v>
      </c>
    </row>
    <row r="947" spans="8:9" x14ac:dyDescent="0.25">
      <c r="H947" t="s">
        <v>508</v>
      </c>
      <c r="I947" t="s">
        <v>3194</v>
      </c>
    </row>
    <row r="948" spans="8:9" x14ac:dyDescent="0.25">
      <c r="H948" t="s">
        <v>3195</v>
      </c>
      <c r="I948" t="s">
        <v>3196</v>
      </c>
    </row>
    <row r="949" spans="8:9" x14ac:dyDescent="0.25">
      <c r="H949" t="s">
        <v>3197</v>
      </c>
      <c r="I949" t="s">
        <v>3198</v>
      </c>
    </row>
    <row r="950" spans="8:9" x14ac:dyDescent="0.25">
      <c r="H950" t="s">
        <v>950</v>
      </c>
      <c r="I950" t="s">
        <v>3196</v>
      </c>
    </row>
    <row r="951" spans="8:9" x14ac:dyDescent="0.25">
      <c r="H951" t="s">
        <v>259</v>
      </c>
      <c r="I951" t="s">
        <v>3198</v>
      </c>
    </row>
    <row r="952" spans="8:9" x14ac:dyDescent="0.25">
      <c r="H952" t="s">
        <v>3199</v>
      </c>
      <c r="I952" t="s">
        <v>3200</v>
      </c>
    </row>
    <row r="953" spans="8:9" x14ac:dyDescent="0.25">
      <c r="H953" t="s">
        <v>3201</v>
      </c>
      <c r="I953" t="s">
        <v>3202</v>
      </c>
    </row>
    <row r="954" spans="8:9" x14ac:dyDescent="0.25">
      <c r="H954" t="s">
        <v>3203</v>
      </c>
      <c r="I954" t="s">
        <v>3202</v>
      </c>
    </row>
    <row r="955" spans="8:9" x14ac:dyDescent="0.25">
      <c r="H955" t="s">
        <v>253</v>
      </c>
      <c r="I955" t="s">
        <v>3202</v>
      </c>
    </row>
    <row r="956" spans="8:9" x14ac:dyDescent="0.25">
      <c r="H956" t="s">
        <v>3204</v>
      </c>
      <c r="I956" t="s">
        <v>3205</v>
      </c>
    </row>
    <row r="957" spans="8:9" x14ac:dyDescent="0.25">
      <c r="H957" t="s">
        <v>3206</v>
      </c>
      <c r="I957" t="s">
        <v>3200</v>
      </c>
    </row>
    <row r="958" spans="8:9" x14ac:dyDescent="0.25">
      <c r="H958" t="s">
        <v>3207</v>
      </c>
      <c r="I958" t="s">
        <v>3200</v>
      </c>
    </row>
    <row r="959" spans="8:9" x14ac:dyDescent="0.25">
      <c r="H959" t="s">
        <v>674</v>
      </c>
      <c r="I959" t="s">
        <v>3208</v>
      </c>
    </row>
    <row r="960" spans="8:9" x14ac:dyDescent="0.25">
      <c r="H960" t="s">
        <v>3209</v>
      </c>
      <c r="I960" t="s">
        <v>3210</v>
      </c>
    </row>
    <row r="961" spans="8:10" x14ac:dyDescent="0.25">
      <c r="H961" t="s">
        <v>3211</v>
      </c>
      <c r="I961" t="s">
        <v>3212</v>
      </c>
    </row>
    <row r="962" spans="8:10" x14ac:dyDescent="0.25">
      <c r="H962" t="s">
        <v>3213</v>
      </c>
      <c r="I962" t="s">
        <v>3214</v>
      </c>
    </row>
    <row r="963" spans="8:10" x14ac:dyDescent="0.25">
      <c r="H963" t="s">
        <v>3215</v>
      </c>
      <c r="I963" t="s">
        <v>3216</v>
      </c>
    </row>
    <row r="964" spans="8:10" x14ac:dyDescent="0.25">
      <c r="H964" t="s">
        <v>3217</v>
      </c>
      <c r="I964" t="s">
        <v>3218</v>
      </c>
    </row>
    <row r="965" spans="8:10" x14ac:dyDescent="0.25">
      <c r="H965" t="s">
        <v>3219</v>
      </c>
      <c r="I965" t="s">
        <v>3220</v>
      </c>
    </row>
    <row r="966" spans="8:10" x14ac:dyDescent="0.25">
      <c r="H966" t="s">
        <v>3221</v>
      </c>
      <c r="I966" t="s">
        <v>3222</v>
      </c>
    </row>
    <row r="967" spans="8:10" x14ac:dyDescent="0.25">
      <c r="H967" t="s">
        <v>3223</v>
      </c>
      <c r="I967" t="s">
        <v>3224</v>
      </c>
    </row>
    <row r="968" spans="8:10" x14ac:dyDescent="0.25">
      <c r="H968" t="s">
        <v>3225</v>
      </c>
      <c r="I968" t="s">
        <v>3226</v>
      </c>
    </row>
    <row r="969" spans="8:10" x14ac:dyDescent="0.25">
      <c r="H969" t="s">
        <v>3227</v>
      </c>
      <c r="I969" t="s">
        <v>3228</v>
      </c>
    </row>
    <row r="970" spans="8:10" x14ac:dyDescent="0.25">
      <c r="H970" t="s">
        <v>3229</v>
      </c>
      <c r="I970" t="s">
        <v>239</v>
      </c>
    </row>
    <row r="971" spans="8:10" x14ac:dyDescent="0.25">
      <c r="H971" t="s">
        <v>3230</v>
      </c>
      <c r="I971" t="s">
        <v>3231</v>
      </c>
      <c r="J971" t="s">
        <v>3232</v>
      </c>
    </row>
    <row r="972" spans="8:10" x14ac:dyDescent="0.25">
      <c r="H972" t="s">
        <v>3233</v>
      </c>
      <c r="I972" t="s">
        <v>3234</v>
      </c>
      <c r="J972" t="s">
        <v>3235</v>
      </c>
    </row>
    <row r="973" spans="8:10" x14ac:dyDescent="0.25">
      <c r="H973" t="s">
        <v>3236</v>
      </c>
      <c r="I973" t="s">
        <v>3237</v>
      </c>
      <c r="J973" t="s">
        <v>3235</v>
      </c>
    </row>
    <row r="974" spans="8:10" x14ac:dyDescent="0.25">
      <c r="H974" t="s">
        <v>3238</v>
      </c>
      <c r="I974" t="s">
        <v>3239</v>
      </c>
      <c r="J974" t="s">
        <v>3235</v>
      </c>
    </row>
    <row r="975" spans="8:10" x14ac:dyDescent="0.25">
      <c r="H975" t="s">
        <v>3240</v>
      </c>
      <c r="I975" t="s">
        <v>3241</v>
      </c>
      <c r="J975" t="s">
        <v>3235</v>
      </c>
    </row>
    <row r="976" spans="8:10" x14ac:dyDescent="0.25">
      <c r="H976" t="s">
        <v>3242</v>
      </c>
      <c r="I976" t="s">
        <v>3243</v>
      </c>
      <c r="J976" t="s">
        <v>3235</v>
      </c>
    </row>
    <row r="977" spans="8:10" x14ac:dyDescent="0.25">
      <c r="H977" t="s">
        <v>3244</v>
      </c>
      <c r="I977" t="s">
        <v>3241</v>
      </c>
      <c r="J977" t="s">
        <v>3235</v>
      </c>
    </row>
    <row r="978" spans="8:10" x14ac:dyDescent="0.25">
      <c r="H978" t="s">
        <v>3245</v>
      </c>
      <c r="I978" t="s">
        <v>3246</v>
      </c>
      <c r="J978" t="s">
        <v>3235</v>
      </c>
    </row>
    <row r="979" spans="8:10" x14ac:dyDescent="0.25">
      <c r="H979" t="s">
        <v>3247</v>
      </c>
      <c r="I979" t="s">
        <v>3248</v>
      </c>
      <c r="J979" t="s">
        <v>3235</v>
      </c>
    </row>
    <row r="980" spans="8:10" x14ac:dyDescent="0.25">
      <c r="H980" t="s">
        <v>3249</v>
      </c>
      <c r="I980" t="s">
        <v>3241</v>
      </c>
      <c r="J980" t="s">
        <v>3235</v>
      </c>
    </row>
    <row r="981" spans="8:10" x14ac:dyDescent="0.25">
      <c r="H981" t="s">
        <v>3250</v>
      </c>
      <c r="I981" t="s">
        <v>3251</v>
      </c>
      <c r="J981" t="s">
        <v>3252</v>
      </c>
    </row>
    <row r="982" spans="8:10" x14ac:dyDescent="0.25">
      <c r="H982" t="s">
        <v>455</v>
      </c>
      <c r="I982" t="s">
        <v>3253</v>
      </c>
      <c r="J982" t="s">
        <v>3252</v>
      </c>
    </row>
    <row r="983" spans="8:10" x14ac:dyDescent="0.25">
      <c r="H983" t="s">
        <v>3254</v>
      </c>
      <c r="I983" t="s">
        <v>3255</v>
      </c>
      <c r="J983" t="s">
        <v>3256</v>
      </c>
    </row>
    <row r="984" spans="8:10" x14ac:dyDescent="0.25">
      <c r="H984" t="s">
        <v>3257</v>
      </c>
      <c r="I984" t="s">
        <v>3258</v>
      </c>
      <c r="J984" t="s">
        <v>3256</v>
      </c>
    </row>
    <row r="985" spans="8:10" x14ac:dyDescent="0.25">
      <c r="H985" t="s">
        <v>3259</v>
      </c>
      <c r="I985" t="s">
        <v>3260</v>
      </c>
      <c r="J985" t="s">
        <v>3256</v>
      </c>
    </row>
    <row r="986" spans="8:10" x14ac:dyDescent="0.25">
      <c r="H986" t="s">
        <v>3261</v>
      </c>
      <c r="I986" t="s">
        <v>3262</v>
      </c>
      <c r="J986" t="s">
        <v>3256</v>
      </c>
    </row>
    <row r="987" spans="8:10" x14ac:dyDescent="0.25">
      <c r="H987" t="s">
        <v>3263</v>
      </c>
      <c r="I987" t="s">
        <v>3264</v>
      </c>
      <c r="J987" t="s">
        <v>3256</v>
      </c>
    </row>
  </sheetData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4337" r:id="rId3" name="CommandButton1">
          <controlPr defaultSize="0" autoLine="0" r:id="rId4">
            <anchor moveWithCells="1">
              <from>
                <xdr:col>3</xdr:col>
                <xdr:colOff>581025</xdr:colOff>
                <xdr:row>10</xdr:row>
                <xdr:rowOff>95250</xdr:rowOff>
              </from>
              <to>
                <xdr:col>5</xdr:col>
                <xdr:colOff>257175</xdr:colOff>
                <xdr:row>13</xdr:row>
                <xdr:rowOff>57150</xdr:rowOff>
              </to>
            </anchor>
          </controlPr>
        </control>
      </mc:Choice>
      <mc:Fallback>
        <control shapeId="14337" r:id="rId3" name="CommandButton1"/>
      </mc:Fallback>
    </mc:AlternateContent>
  </controls>
  <tableParts count="2">
    <tablePart r:id="rId5"/>
    <tablePart r:id="rId6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>
    <tabColor rgb="FF92D050"/>
  </sheetPr>
  <dimension ref="A2:C13"/>
  <sheetViews>
    <sheetView workbookViewId="0">
      <selection activeCell="G26" sqref="G26"/>
    </sheetView>
  </sheetViews>
  <sheetFormatPr defaultRowHeight="15" x14ac:dyDescent="0.25"/>
  <cols>
    <col min="1" max="1" width="12.140625" bestFit="1" customWidth="1"/>
    <col min="2" max="2" width="11.42578125" bestFit="1" customWidth="1"/>
    <col min="3" max="3" width="8.7109375" bestFit="1" customWidth="1"/>
  </cols>
  <sheetData>
    <row r="2" spans="1:3" x14ac:dyDescent="0.25">
      <c r="A2" s="16" t="s">
        <v>1236</v>
      </c>
      <c r="B2" s="16" t="s">
        <v>1237</v>
      </c>
      <c r="C2" s="16" t="s">
        <v>1234</v>
      </c>
    </row>
    <row r="3" spans="1:3" x14ac:dyDescent="0.25">
      <c r="A3" s="16" t="s">
        <v>373</v>
      </c>
      <c r="B3" s="16" t="s">
        <v>1238</v>
      </c>
      <c r="C3" s="16">
        <v>1</v>
      </c>
    </row>
    <row r="4" spans="1:3" x14ac:dyDescent="0.25">
      <c r="A4" s="16" t="s">
        <v>522</v>
      </c>
      <c r="B4" s="16" t="s">
        <v>1239</v>
      </c>
      <c r="C4" s="16"/>
    </row>
    <row r="5" spans="1:3" x14ac:dyDescent="0.25">
      <c r="A5" s="16" t="s">
        <v>1241</v>
      </c>
      <c r="B5" s="16" t="s">
        <v>1239</v>
      </c>
      <c r="C5" s="16"/>
    </row>
    <row r="6" spans="1:3" x14ac:dyDescent="0.25">
      <c r="A6" s="16"/>
      <c r="B6" s="16"/>
      <c r="C6" s="16"/>
    </row>
    <row r="7" spans="1:3" x14ac:dyDescent="0.25">
      <c r="A7" s="16"/>
      <c r="B7" s="16"/>
      <c r="C7" s="16"/>
    </row>
    <row r="8" spans="1:3" x14ac:dyDescent="0.25">
      <c r="A8" s="16"/>
      <c r="B8" s="16"/>
      <c r="C8" s="16"/>
    </row>
    <row r="9" spans="1:3" x14ac:dyDescent="0.25">
      <c r="A9" s="16"/>
      <c r="B9" s="16"/>
      <c r="C9" s="16"/>
    </row>
    <row r="10" spans="1:3" x14ac:dyDescent="0.25">
      <c r="A10" s="40" t="s">
        <v>1240</v>
      </c>
      <c r="B10" s="40"/>
      <c r="C10" s="40"/>
    </row>
    <row r="11" spans="1:3" x14ac:dyDescent="0.25">
      <c r="A11" s="40"/>
      <c r="B11" s="40" t="s">
        <v>1242</v>
      </c>
      <c r="C11" s="40">
        <v>2</v>
      </c>
    </row>
    <row r="12" spans="1:3" x14ac:dyDescent="0.25">
      <c r="A12" s="40"/>
      <c r="B12" s="40" t="s">
        <v>1243</v>
      </c>
      <c r="C12" s="40">
        <v>2</v>
      </c>
    </row>
    <row r="13" spans="1:3" x14ac:dyDescent="0.25">
      <c r="A13" s="40"/>
      <c r="B13" s="40" t="s">
        <v>1244</v>
      </c>
      <c r="C13" s="40">
        <v>2</v>
      </c>
    </row>
  </sheetData>
  <pageMargins left="0.7" right="0.7" top="0.75" bottom="0.75" header="0.3" footer="0.3"/>
  <tableParts count="1">
    <tablePart r:id="rId1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B35"/>
  <sheetViews>
    <sheetView workbookViewId="0">
      <selection activeCell="E28" sqref="E28"/>
    </sheetView>
  </sheetViews>
  <sheetFormatPr defaultRowHeight="15" x14ac:dyDescent="0.25"/>
  <cols>
    <col min="1" max="1" width="24" bestFit="1" customWidth="1"/>
    <col min="2" max="2" width="18.140625" bestFit="1" customWidth="1"/>
  </cols>
  <sheetData>
    <row r="1" spans="1:2" x14ac:dyDescent="0.25">
      <c r="A1" s="49" t="s">
        <v>3365</v>
      </c>
      <c r="B1" t="s">
        <v>3367</v>
      </c>
    </row>
    <row r="2" spans="1:2" x14ac:dyDescent="0.25">
      <c r="A2" s="50">
        <v>38197195</v>
      </c>
      <c r="B2" s="52">
        <v>2</v>
      </c>
    </row>
    <row r="3" spans="1:2" x14ac:dyDescent="0.25">
      <c r="A3" s="50" t="s">
        <v>1204</v>
      </c>
      <c r="B3" s="52">
        <v>26</v>
      </c>
    </row>
    <row r="4" spans="1:2" x14ac:dyDescent="0.25">
      <c r="A4" s="50" t="s">
        <v>1192</v>
      </c>
      <c r="B4" s="52">
        <v>1</v>
      </c>
    </row>
    <row r="5" spans="1:2" x14ac:dyDescent="0.25">
      <c r="A5" s="50" t="s">
        <v>1190</v>
      </c>
      <c r="B5" s="52">
        <v>1</v>
      </c>
    </row>
    <row r="6" spans="1:2" x14ac:dyDescent="0.25">
      <c r="A6" s="50" t="s">
        <v>1184</v>
      </c>
      <c r="B6" s="52">
        <v>1</v>
      </c>
    </row>
    <row r="7" spans="1:2" x14ac:dyDescent="0.25">
      <c r="A7" s="50" t="s">
        <v>1187</v>
      </c>
      <c r="B7" s="52">
        <v>1</v>
      </c>
    </row>
    <row r="8" spans="1:2" x14ac:dyDescent="0.25">
      <c r="A8" s="50" t="s">
        <v>3355</v>
      </c>
      <c r="B8" s="52">
        <v>1</v>
      </c>
    </row>
    <row r="9" spans="1:2" x14ac:dyDescent="0.25">
      <c r="A9" s="50" t="s">
        <v>1200</v>
      </c>
      <c r="B9" s="52">
        <v>4</v>
      </c>
    </row>
    <row r="10" spans="1:2" x14ac:dyDescent="0.25">
      <c r="A10" s="50" t="s">
        <v>3361</v>
      </c>
      <c r="B10" s="52">
        <v>1</v>
      </c>
    </row>
    <row r="11" spans="1:2" x14ac:dyDescent="0.25">
      <c r="A11" s="50" t="s">
        <v>3362</v>
      </c>
      <c r="B11" s="52">
        <v>1</v>
      </c>
    </row>
    <row r="12" spans="1:2" x14ac:dyDescent="0.25">
      <c r="A12" s="50" t="s">
        <v>994</v>
      </c>
      <c r="B12" s="52">
        <v>1</v>
      </c>
    </row>
    <row r="13" spans="1:2" x14ac:dyDescent="0.25">
      <c r="A13" s="50" t="s">
        <v>1089</v>
      </c>
      <c r="B13" s="52">
        <v>1</v>
      </c>
    </row>
    <row r="14" spans="1:2" x14ac:dyDescent="0.25">
      <c r="A14" s="50" t="s">
        <v>3363</v>
      </c>
      <c r="B14" s="52">
        <v>1</v>
      </c>
    </row>
    <row r="15" spans="1:2" x14ac:dyDescent="0.25">
      <c r="A15" s="50" t="s">
        <v>3352</v>
      </c>
      <c r="B15" s="52">
        <v>1</v>
      </c>
    </row>
    <row r="16" spans="1:2" x14ac:dyDescent="0.25">
      <c r="A16" s="50" t="s">
        <v>3359</v>
      </c>
      <c r="B16" s="52">
        <v>1</v>
      </c>
    </row>
    <row r="17" spans="1:2" x14ac:dyDescent="0.25">
      <c r="A17" s="50" t="s">
        <v>3360</v>
      </c>
      <c r="B17" s="52">
        <v>1</v>
      </c>
    </row>
    <row r="18" spans="1:2" x14ac:dyDescent="0.25">
      <c r="A18" s="50" t="s">
        <v>3364</v>
      </c>
      <c r="B18" s="52">
        <v>1</v>
      </c>
    </row>
    <row r="19" spans="1:2" x14ac:dyDescent="0.25">
      <c r="A19" s="50" t="s">
        <v>1153</v>
      </c>
      <c r="B19" s="52">
        <v>1</v>
      </c>
    </row>
    <row r="20" spans="1:2" x14ac:dyDescent="0.25">
      <c r="A20" s="50" t="s">
        <v>1198</v>
      </c>
      <c r="B20" s="52">
        <v>1</v>
      </c>
    </row>
    <row r="21" spans="1:2" x14ac:dyDescent="0.25">
      <c r="A21" s="50" t="s">
        <v>999</v>
      </c>
      <c r="B21" s="52">
        <v>1</v>
      </c>
    </row>
    <row r="22" spans="1:2" x14ac:dyDescent="0.25">
      <c r="A22" s="50" t="s">
        <v>1001</v>
      </c>
      <c r="B22" s="52">
        <v>1</v>
      </c>
    </row>
    <row r="23" spans="1:2" x14ac:dyDescent="0.25">
      <c r="A23" s="50" t="s">
        <v>3354</v>
      </c>
      <c r="B23" s="52">
        <v>1</v>
      </c>
    </row>
    <row r="24" spans="1:2" x14ac:dyDescent="0.25">
      <c r="A24" s="50" t="s">
        <v>1195</v>
      </c>
      <c r="B24" s="52">
        <v>1</v>
      </c>
    </row>
    <row r="25" spans="1:2" x14ac:dyDescent="0.25">
      <c r="A25" s="50" t="s">
        <v>1092</v>
      </c>
      <c r="B25" s="52">
        <v>1</v>
      </c>
    </row>
    <row r="26" spans="1:2" x14ac:dyDescent="0.25">
      <c r="A26" s="50" t="s">
        <v>3353</v>
      </c>
      <c r="B26" s="52">
        <v>1</v>
      </c>
    </row>
    <row r="27" spans="1:2" x14ac:dyDescent="0.25">
      <c r="A27" s="50" t="s">
        <v>3356</v>
      </c>
      <c r="B27" s="52">
        <v>1</v>
      </c>
    </row>
    <row r="28" spans="1:2" x14ac:dyDescent="0.25">
      <c r="A28" s="50" t="s">
        <v>3357</v>
      </c>
      <c r="B28" s="52">
        <v>1</v>
      </c>
    </row>
    <row r="29" spans="1:2" x14ac:dyDescent="0.25">
      <c r="A29" s="50" t="s">
        <v>253</v>
      </c>
      <c r="B29" s="52">
        <v>4</v>
      </c>
    </row>
    <row r="30" spans="1:2" x14ac:dyDescent="0.25">
      <c r="A30" s="50" t="s">
        <v>3358</v>
      </c>
      <c r="B30" s="52">
        <v>6</v>
      </c>
    </row>
    <row r="31" spans="1:2" x14ac:dyDescent="0.25">
      <c r="A31" s="50" t="s">
        <v>1202</v>
      </c>
      <c r="B31" s="52">
        <v>4</v>
      </c>
    </row>
    <row r="32" spans="1:2" x14ac:dyDescent="0.25">
      <c r="A32" s="50" t="s">
        <v>275</v>
      </c>
      <c r="B32" s="52">
        <v>1</v>
      </c>
    </row>
    <row r="33" spans="1:2" x14ac:dyDescent="0.25">
      <c r="A33" s="50" t="s">
        <v>455</v>
      </c>
      <c r="B33" s="52">
        <v>2</v>
      </c>
    </row>
    <row r="34" spans="1:2" x14ac:dyDescent="0.25">
      <c r="A34" s="51">
        <v>255702</v>
      </c>
      <c r="B34" s="52">
        <v>1</v>
      </c>
    </row>
    <row r="35" spans="1:2" x14ac:dyDescent="0.25">
      <c r="A35" s="50" t="s">
        <v>3366</v>
      </c>
      <c r="B35" s="52">
        <v>74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11</vt:i4>
      </vt:variant>
    </vt:vector>
  </HeadingPairs>
  <TitlesOfParts>
    <vt:vector size="11" baseType="lpstr">
      <vt:lpstr>B611061-501</vt:lpstr>
      <vt:lpstr>The Comparator</vt:lpstr>
      <vt:lpstr>B475036-515</vt:lpstr>
      <vt:lpstr>Sheet2</vt:lpstr>
      <vt:lpstr>Sheet3</vt:lpstr>
      <vt:lpstr>The Renamer</vt:lpstr>
      <vt:lpstr>Electrical</vt:lpstr>
      <vt:lpstr>Notes</vt:lpstr>
      <vt:lpstr>Std Hwd</vt:lpstr>
      <vt:lpstr>Plating</vt:lpstr>
      <vt:lpstr>Sheet1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ajacob</dc:creator>
  <cp:lastModifiedBy>Windows User</cp:lastModifiedBy>
  <cp:lastPrinted>2013-06-28T18:47:06Z</cp:lastPrinted>
  <dcterms:created xsi:type="dcterms:W3CDTF">2012-03-23T22:44:29Z</dcterms:created>
  <dcterms:modified xsi:type="dcterms:W3CDTF">2013-12-20T22:24:53Z</dcterms:modified>
</cp:coreProperties>
</file>